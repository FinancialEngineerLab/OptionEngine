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lhadmin\source\repos\DLLSAM\x64\Release\"/>
    </mc:Choice>
  </mc:AlternateContent>
  <bookViews>
    <workbookView xWindow="0" yWindow="0" windowWidth="28800" windowHeight="12390"/>
  </bookViews>
  <sheets>
    <sheet name="Base" sheetId="1" r:id="rId1"/>
    <sheet name="DigitalHedging" sheetId="2" r:id="rId2"/>
    <sheet name="RiskMgt" sheetId="3" r:id="rId3"/>
  </sheet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" l="1"/>
  <c r="G29" i="1"/>
  <c r="P27" i="2" l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P131" i="2" s="1"/>
  <c r="P132" i="2" s="1"/>
  <c r="P133" i="2" s="1"/>
  <c r="P134" i="2" s="1"/>
  <c r="P135" i="2" s="1"/>
  <c r="P136" i="2" s="1"/>
  <c r="P137" i="2" s="1"/>
  <c r="P138" i="2" s="1"/>
  <c r="P139" i="2" s="1"/>
  <c r="P140" i="2" s="1"/>
  <c r="P141" i="2" s="1"/>
  <c r="P142" i="2" s="1"/>
  <c r="P143" i="2" s="1"/>
  <c r="P144" i="2" s="1"/>
  <c r="P145" i="2" s="1"/>
  <c r="P146" i="2" s="1"/>
  <c r="B27" i="2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32" i="3"/>
  <c r="B31" i="3"/>
  <c r="B30" i="3"/>
  <c r="J29" i="3"/>
  <c r="J30" i="3" s="1"/>
  <c r="J31" i="3" s="1"/>
  <c r="J32" i="3" s="1"/>
  <c r="B29" i="3"/>
  <c r="J27" i="3"/>
  <c r="B27" i="3"/>
  <c r="J26" i="3"/>
  <c r="B26" i="3"/>
  <c r="J25" i="3"/>
  <c r="J24" i="3" s="1"/>
  <c r="B25" i="3"/>
  <c r="B24" i="3"/>
  <c r="B10" i="3"/>
  <c r="B11" i="3"/>
  <c r="B18" i="3"/>
  <c r="B17" i="3"/>
  <c r="H29" i="1"/>
  <c r="K25" i="1"/>
  <c r="K26" i="1"/>
  <c r="E29" i="1"/>
  <c r="E28" i="1"/>
  <c r="J29" i="1"/>
  <c r="K29" i="1"/>
  <c r="K28" i="1"/>
  <c r="B16" i="3" l="1"/>
  <c r="J15" i="3"/>
  <c r="B15" i="3"/>
  <c r="J13" i="3"/>
  <c r="B13" i="3"/>
  <c r="B12" i="3"/>
  <c r="N26" i="1"/>
  <c r="O25" i="1"/>
  <c r="R88" i="2"/>
  <c r="Q69" i="2"/>
  <c r="R95" i="2"/>
  <c r="X32" i="2"/>
  <c r="X107" i="2"/>
  <c r="R59" i="2"/>
  <c r="R77" i="2"/>
  <c r="R28" i="2"/>
  <c r="R84" i="2"/>
  <c r="R139" i="2"/>
  <c r="R34" i="2"/>
  <c r="R82" i="2"/>
  <c r="R137" i="2"/>
  <c r="X62" i="2"/>
  <c r="Q121" i="2"/>
  <c r="X37" i="2"/>
  <c r="X92" i="2"/>
  <c r="R142" i="2"/>
  <c r="Q71" i="2"/>
  <c r="R131" i="2"/>
  <c r="R67" i="2"/>
  <c r="Q115" i="2"/>
  <c r="J75" i="2"/>
  <c r="J60" i="2"/>
  <c r="J53" i="2"/>
  <c r="J46" i="2"/>
  <c r="J39" i="2"/>
  <c r="J32" i="2"/>
  <c r="J146" i="2"/>
  <c r="J145" i="2"/>
  <c r="D76" i="2"/>
  <c r="D46" i="2"/>
  <c r="D32" i="2"/>
  <c r="D89" i="2"/>
  <c r="D131" i="2"/>
  <c r="D117" i="2"/>
  <c r="D119" i="2"/>
  <c r="C94" i="2"/>
  <c r="C109" i="2"/>
  <c r="C145" i="2"/>
  <c r="C115" i="2"/>
  <c r="C117" i="2"/>
  <c r="C87" i="2"/>
  <c r="C89" i="2"/>
  <c r="C92" i="2"/>
  <c r="D24" i="3"/>
  <c r="N17" i="3"/>
  <c r="H10" i="3"/>
  <c r="C12" i="3"/>
  <c r="E17" i="3"/>
  <c r="E11" i="3"/>
  <c r="K10" i="3"/>
  <c r="K31" i="3"/>
  <c r="N27" i="3"/>
  <c r="P25" i="3"/>
  <c r="P30" i="3"/>
  <c r="C32" i="3"/>
  <c r="M27" i="3"/>
  <c r="C131" i="2"/>
  <c r="G13" i="3"/>
  <c r="O28" i="3"/>
  <c r="G28" i="3"/>
  <c r="L29" i="3"/>
  <c r="G26" i="3"/>
  <c r="D25" i="1"/>
  <c r="R74" i="2"/>
  <c r="Q72" i="2"/>
  <c r="Q37" i="2"/>
  <c r="R86" i="2"/>
  <c r="R141" i="2"/>
  <c r="Q54" i="2"/>
  <c r="X102" i="2"/>
  <c r="Q61" i="2"/>
  <c r="Q116" i="2"/>
  <c r="R146" i="2"/>
  <c r="Q59" i="2"/>
  <c r="Q114" i="2"/>
  <c r="X46" i="2"/>
  <c r="X101" i="2"/>
  <c r="R71" i="2"/>
  <c r="R126" i="2"/>
  <c r="X51" i="2"/>
  <c r="R115" i="2"/>
  <c r="R51" i="2"/>
  <c r="X54" i="2"/>
  <c r="J107" i="2"/>
  <c r="J78" i="2"/>
  <c r="J71" i="2"/>
  <c r="J64" i="2"/>
  <c r="J49" i="2"/>
  <c r="D43" i="2"/>
  <c r="D140" i="2"/>
  <c r="D110" i="2"/>
  <c r="D96" i="2"/>
  <c r="D68" i="2"/>
  <c r="D54" i="2"/>
  <c r="C80" i="2"/>
  <c r="C66" i="2"/>
  <c r="C52" i="2"/>
  <c r="C38" i="2"/>
  <c r="C93" i="2"/>
  <c r="C138" i="2"/>
  <c r="C45" i="2"/>
  <c r="L15" i="3"/>
  <c r="K14" i="3"/>
  <c r="D13" i="3"/>
  <c r="G11" i="3"/>
  <c r="P15" i="3"/>
  <c r="M28" i="3"/>
  <c r="L25" i="3"/>
  <c r="I26" i="1"/>
  <c r="E25" i="1"/>
  <c r="Q81" i="2"/>
  <c r="R60" i="2"/>
  <c r="Q88" i="2"/>
  <c r="R27" i="2"/>
  <c r="R102" i="2"/>
  <c r="Q52" i="2"/>
  <c r="Q70" i="2"/>
  <c r="Q51" i="2"/>
  <c r="Q77" i="2"/>
  <c r="Q132" i="2"/>
  <c r="Y72" i="2"/>
  <c r="Q75" i="2"/>
  <c r="Q130" i="2"/>
  <c r="R57" i="2"/>
  <c r="X117" i="2"/>
  <c r="R32" i="2"/>
  <c r="R87" i="2"/>
  <c r="X67" i="2"/>
  <c r="Q126" i="2"/>
  <c r="Q62" i="2"/>
  <c r="R65" i="2"/>
  <c r="J83" i="2"/>
  <c r="J68" i="2"/>
  <c r="J61" i="2"/>
  <c r="J54" i="2"/>
  <c r="J47" i="2"/>
  <c r="J40" i="2"/>
  <c r="J66" i="2"/>
  <c r="J90" i="2"/>
  <c r="D92" i="2"/>
  <c r="D62" i="2"/>
  <c r="D48" i="2"/>
  <c r="D34" i="2"/>
  <c r="D121" i="2"/>
  <c r="D133" i="2"/>
  <c r="D135" i="2"/>
  <c r="C110" i="2"/>
  <c r="C32" i="2"/>
  <c r="C141" i="2"/>
  <c r="C133" i="2"/>
  <c r="C103" i="2"/>
  <c r="C105" i="2"/>
  <c r="C108" i="2"/>
  <c r="L13" i="3"/>
  <c r="N14" i="3"/>
  <c r="F13" i="3"/>
  <c r="O14" i="3"/>
  <c r="N15" i="3"/>
  <c r="F16" i="3"/>
  <c r="M32" i="3"/>
  <c r="M30" i="3"/>
  <c r="Q65" i="2"/>
  <c r="Q67" i="2"/>
  <c r="D82" i="2"/>
  <c r="H28" i="1"/>
  <c r="H26" i="1"/>
  <c r="C25" i="1"/>
  <c r="X77" i="2"/>
  <c r="R122" i="2"/>
  <c r="X84" i="2"/>
  <c r="Q101" i="2"/>
  <c r="Q95" i="2"/>
  <c r="X66" i="2"/>
  <c r="R42" i="2"/>
  <c r="X73" i="2"/>
  <c r="X128" i="2"/>
  <c r="X79" i="2"/>
  <c r="X71" i="2"/>
  <c r="X126" i="2"/>
  <c r="R112" i="2"/>
  <c r="X113" i="2"/>
  <c r="Q80" i="2"/>
  <c r="Q135" i="2"/>
  <c r="R62" i="2"/>
  <c r="X122" i="2"/>
  <c r="X58" i="2"/>
  <c r="Q124" i="2"/>
  <c r="Q60" i="2"/>
  <c r="X95" i="2"/>
  <c r="Y61" i="2"/>
  <c r="J91" i="2"/>
  <c r="J76" i="2"/>
  <c r="J69" i="2"/>
  <c r="J62" i="2"/>
  <c r="J55" i="2"/>
  <c r="J48" i="2"/>
  <c r="J33" i="2"/>
  <c r="J114" i="2"/>
  <c r="D108" i="2"/>
  <c r="D78" i="2"/>
  <c r="D64" i="2"/>
  <c r="D50" i="2"/>
  <c r="D36" i="2"/>
  <c r="D105" i="2"/>
  <c r="D72" i="2"/>
  <c r="C126" i="2"/>
  <c r="C48" i="2"/>
  <c r="C34" i="2"/>
  <c r="C74" i="2"/>
  <c r="C28" i="2"/>
  <c r="C119" i="2"/>
  <c r="C121" i="2"/>
  <c r="C124" i="2"/>
  <c r="L14" i="3"/>
  <c r="F10" i="3"/>
  <c r="G10" i="3"/>
  <c r="E16" i="3"/>
  <c r="F14" i="3"/>
  <c r="E13" i="3"/>
  <c r="P11" i="3"/>
  <c r="K27" i="3"/>
  <c r="G31" i="3"/>
  <c r="N31" i="3"/>
  <c r="F28" i="3"/>
  <c r="G29" i="3"/>
  <c r="C25" i="3"/>
  <c r="Y132" i="2"/>
  <c r="Y71" i="2"/>
  <c r="L26" i="1"/>
  <c r="J92" i="2"/>
  <c r="D42" i="2"/>
  <c r="D29" i="1"/>
  <c r="O26" i="1"/>
  <c r="L25" i="1"/>
  <c r="R72" i="2"/>
  <c r="R90" i="2"/>
  <c r="R79" i="2"/>
  <c r="Q53" i="2"/>
  <c r="X91" i="2"/>
  <c r="X146" i="2"/>
  <c r="R61" i="2"/>
  <c r="R145" i="2"/>
  <c r="R68" i="2"/>
  <c r="R123" i="2"/>
  <c r="X31" i="2"/>
  <c r="R66" i="2"/>
  <c r="R121" i="2"/>
  <c r="Q50" i="2"/>
  <c r="Q105" i="2"/>
  <c r="X76" i="2"/>
  <c r="X131" i="2"/>
  <c r="Q55" i="2"/>
  <c r="R117" i="2"/>
  <c r="R53" i="2"/>
  <c r="X120" i="2"/>
  <c r="X56" i="2"/>
  <c r="Q83" i="2"/>
  <c r="Q58" i="2"/>
  <c r="J99" i="2"/>
  <c r="J84" i="2"/>
  <c r="J77" i="2"/>
  <c r="J70" i="2"/>
  <c r="J63" i="2"/>
  <c r="J56" i="2"/>
  <c r="J41" i="2"/>
  <c r="D27" i="2"/>
  <c r="D124" i="2"/>
  <c r="D94" i="2"/>
  <c r="D80" i="2"/>
  <c r="D66" i="2"/>
  <c r="D52" i="2"/>
  <c r="D38" i="2"/>
  <c r="D137" i="2"/>
  <c r="C142" i="2"/>
  <c r="C64" i="2"/>
  <c r="C50" i="2"/>
  <c r="C36" i="2"/>
  <c r="C106" i="2"/>
  <c r="C135" i="2"/>
  <c r="C137" i="2"/>
  <c r="C140" i="2"/>
  <c r="L10" i="3"/>
  <c r="H17" i="3"/>
  <c r="D16" i="3"/>
  <c r="K17" i="3"/>
  <c r="O12" i="3"/>
  <c r="P18" i="3"/>
  <c r="O11" i="3"/>
  <c r="O24" i="3"/>
  <c r="C30" i="3"/>
  <c r="K32" i="3"/>
  <c r="P26" i="3"/>
  <c r="C28" i="3"/>
  <c r="E32" i="3"/>
  <c r="Y116" i="2"/>
  <c r="D28" i="1"/>
  <c r="J85" i="2"/>
  <c r="C27" i="2"/>
  <c r="Q141" i="2"/>
  <c r="Y141" i="2"/>
  <c r="D58" i="2"/>
  <c r="E25" i="3"/>
  <c r="Q43" i="2"/>
  <c r="C75" i="2"/>
  <c r="R63" i="2"/>
  <c r="Q39" i="2"/>
  <c r="D142" i="2"/>
  <c r="C13" i="3"/>
  <c r="C26" i="1"/>
  <c r="J131" i="2"/>
  <c r="H31" i="3"/>
  <c r="X34" i="2"/>
  <c r="R35" i="2"/>
  <c r="D118" i="2"/>
  <c r="P28" i="3"/>
  <c r="X132" i="2"/>
  <c r="M25" i="1"/>
  <c r="X69" i="2"/>
  <c r="J112" i="2"/>
  <c r="C123" i="2"/>
  <c r="Q107" i="2"/>
  <c r="J122" i="2"/>
  <c r="C35" i="2"/>
  <c r="N30" i="3"/>
  <c r="Q31" i="2"/>
  <c r="Q76" i="2"/>
  <c r="C83" i="2"/>
  <c r="X116" i="2"/>
  <c r="R94" i="2"/>
  <c r="D125" i="2"/>
  <c r="H16" i="3"/>
  <c r="D113" i="2"/>
  <c r="R73" i="2"/>
  <c r="J34" i="2"/>
  <c r="C39" i="2"/>
  <c r="R43" i="2"/>
  <c r="D12" i="3"/>
  <c r="L28" i="3"/>
  <c r="D33" i="2"/>
  <c r="J132" i="2"/>
  <c r="C104" i="2"/>
  <c r="M18" i="3"/>
  <c r="D14" i="1"/>
  <c r="O32" i="3"/>
  <c r="X142" i="2"/>
  <c r="X74" i="2"/>
  <c r="J52" i="2"/>
  <c r="H13" i="3"/>
  <c r="R128" i="2"/>
  <c r="G25" i="3"/>
  <c r="D101" i="2"/>
  <c r="Y65" i="2"/>
  <c r="E16" i="1"/>
  <c r="Q66" i="2"/>
  <c r="X57" i="2"/>
  <c r="R49" i="2"/>
  <c r="C26" i="2"/>
  <c r="G27" i="3"/>
  <c r="X85" i="2"/>
  <c r="L18" i="3"/>
  <c r="Q35" i="2"/>
  <c r="X106" i="2"/>
  <c r="D128" i="2"/>
  <c r="C10" i="3"/>
  <c r="R136" i="2"/>
  <c r="J116" i="2"/>
  <c r="M24" i="3"/>
  <c r="Q125" i="2"/>
  <c r="Y125" i="2" s="1"/>
  <c r="X70" i="2"/>
  <c r="D106" i="2"/>
  <c r="N28" i="3"/>
  <c r="R47" i="2"/>
  <c r="Q117" i="2"/>
  <c r="R120" i="2"/>
  <c r="R119" i="2"/>
  <c r="J97" i="2"/>
  <c r="M14" i="3"/>
  <c r="X49" i="2"/>
  <c r="J141" i="2"/>
  <c r="C37" i="2"/>
  <c r="F25" i="3"/>
  <c r="Q86" i="2"/>
  <c r="X38" i="2"/>
  <c r="C85" i="2"/>
  <c r="R31" i="2"/>
  <c r="D111" i="2"/>
  <c r="O10" i="3"/>
  <c r="Q26" i="1"/>
  <c r="Q137" i="2"/>
  <c r="J143" i="2"/>
  <c r="C41" i="2"/>
  <c r="Q111" i="2"/>
  <c r="F27" i="3"/>
  <c r="D115" i="2"/>
  <c r="E15" i="3"/>
  <c r="D40" i="2"/>
  <c r="H11" i="3"/>
  <c r="L12" i="3"/>
  <c r="C20" i="1"/>
  <c r="Y76" i="2"/>
  <c r="Y58" i="2"/>
  <c r="Q36" i="2"/>
  <c r="D14" i="3"/>
  <c r="C146" i="2"/>
  <c r="J45" i="2"/>
  <c r="Y135" i="2"/>
  <c r="Y50" i="2"/>
  <c r="Q96" i="2"/>
  <c r="C73" i="2"/>
  <c r="N12" i="3"/>
  <c r="X112" i="2"/>
  <c r="J115" i="2"/>
  <c r="C96" i="2"/>
  <c r="K30" i="3"/>
  <c r="R55" i="2"/>
  <c r="D10" i="3"/>
  <c r="X75" i="2"/>
  <c r="X42" i="2"/>
  <c r="D114" i="2"/>
  <c r="K18" i="3"/>
  <c r="Q49" i="2"/>
  <c r="J102" i="2"/>
  <c r="L30" i="3"/>
  <c r="X41" i="2"/>
  <c r="C47" i="2"/>
  <c r="K28" i="3"/>
  <c r="Q143" i="2"/>
  <c r="Q94" i="2"/>
  <c r="Q33" i="2"/>
  <c r="X44" i="2"/>
  <c r="D139" i="2"/>
  <c r="O16" i="3"/>
  <c r="N29" i="1"/>
  <c r="Q82" i="2"/>
  <c r="J134" i="2"/>
  <c r="C29" i="2"/>
  <c r="D26" i="3"/>
  <c r="J44" i="2"/>
  <c r="C55" i="2"/>
  <c r="Q127" i="2"/>
  <c r="Y81" i="2"/>
  <c r="D81" i="2"/>
  <c r="O15" i="3"/>
  <c r="I25" i="1"/>
  <c r="X53" i="2"/>
  <c r="J136" i="2"/>
  <c r="C44" i="2"/>
  <c r="Y105" i="2"/>
  <c r="R69" i="2"/>
  <c r="C24" i="3"/>
  <c r="Y107" i="2"/>
  <c r="C76" i="2"/>
  <c r="F32" i="3"/>
  <c r="Q41" i="2"/>
  <c r="E20" i="1"/>
  <c r="D127" i="2"/>
  <c r="Q90" i="2"/>
  <c r="Y53" i="2"/>
  <c r="F18" i="3"/>
  <c r="C99" i="2"/>
  <c r="Y43" i="2"/>
  <c r="X72" i="2"/>
  <c r="Q139" i="2"/>
  <c r="J100" i="2"/>
  <c r="C82" i="2"/>
  <c r="O30" i="3"/>
  <c r="X35" i="2"/>
  <c r="D17" i="3"/>
  <c r="X130" i="2"/>
  <c r="Q108" i="2"/>
  <c r="D100" i="2"/>
  <c r="P16" i="3"/>
  <c r="R143" i="2"/>
  <c r="J88" i="2"/>
  <c r="Y36" i="2"/>
  <c r="X96" i="2"/>
  <c r="J139" i="2"/>
  <c r="C77" i="2"/>
  <c r="F24" i="3"/>
  <c r="X59" i="2"/>
  <c r="Q30" i="2"/>
  <c r="R127" i="2"/>
  <c r="Q103" i="2"/>
  <c r="D93" i="2"/>
  <c r="P10" i="3"/>
  <c r="E26" i="1"/>
  <c r="R129" i="2"/>
  <c r="J127" i="2"/>
  <c r="C136" i="2"/>
  <c r="Q93" i="2"/>
  <c r="J37" i="2"/>
  <c r="C60" i="2"/>
  <c r="X43" i="2"/>
  <c r="R106" i="2"/>
  <c r="D67" i="2"/>
  <c r="H18" i="3"/>
  <c r="R104" i="2"/>
  <c r="R103" i="2"/>
  <c r="J121" i="2"/>
  <c r="M17" i="3"/>
  <c r="F25" i="1"/>
  <c r="D60" i="2"/>
  <c r="Y115" i="2"/>
  <c r="L27" i="3"/>
  <c r="C118" i="2"/>
  <c r="D122" i="2"/>
  <c r="J42" i="2"/>
  <c r="J31" i="2"/>
  <c r="D19" i="1"/>
  <c r="Y127" i="2"/>
  <c r="R118" i="2"/>
  <c r="M26" i="3"/>
  <c r="G30" i="3"/>
  <c r="C63" i="2"/>
  <c r="X82" i="2"/>
  <c r="Y59" i="2"/>
  <c r="C101" i="2"/>
  <c r="Y77" i="2"/>
  <c r="Y52" i="2"/>
  <c r="Y75" i="2"/>
  <c r="D20" i="1"/>
  <c r="K12" i="3"/>
  <c r="Y49" i="2"/>
  <c r="H26" i="3"/>
  <c r="X55" i="2"/>
  <c r="J93" i="2"/>
  <c r="C68" i="2"/>
  <c r="D25" i="3"/>
  <c r="R37" i="2"/>
  <c r="F30" i="3"/>
  <c r="R45" i="2"/>
  <c r="Q44" i="2"/>
  <c r="Y44" i="2" s="1"/>
  <c r="D86" i="2"/>
  <c r="L31" i="3"/>
  <c r="Q122" i="2"/>
  <c r="D91" i="2"/>
  <c r="Q123" i="2"/>
  <c r="J124" i="2"/>
  <c r="C130" i="2"/>
  <c r="O26" i="3"/>
  <c r="X114" i="2"/>
  <c r="Y95" i="2"/>
  <c r="Q40" i="2"/>
  <c r="Q85" i="2"/>
  <c r="D79" i="2"/>
  <c r="N13" i="3"/>
  <c r="N25" i="1"/>
  <c r="R64" i="2"/>
  <c r="J120" i="2"/>
  <c r="C139" i="2"/>
  <c r="Y137" i="2"/>
  <c r="Q138" i="2"/>
  <c r="Y138" i="2" s="1"/>
  <c r="J30" i="2"/>
  <c r="L11" i="3"/>
  <c r="X98" i="2"/>
  <c r="R83" i="2"/>
  <c r="D53" i="2"/>
  <c r="K16" i="3"/>
  <c r="X26" i="2"/>
  <c r="Q32" i="2"/>
  <c r="D28" i="2"/>
  <c r="H12" i="3"/>
  <c r="J59" i="2"/>
  <c r="C144" i="2"/>
  <c r="C71" i="2"/>
  <c r="R44" i="2"/>
  <c r="R133" i="2"/>
  <c r="G16" i="3"/>
  <c r="J106" i="2"/>
  <c r="N26" i="3"/>
  <c r="D134" i="2"/>
  <c r="E19" i="1"/>
  <c r="Y41" i="2"/>
  <c r="C18" i="3"/>
  <c r="C14" i="1"/>
  <c r="D88" i="2"/>
  <c r="Y54" i="2"/>
  <c r="P12" i="3"/>
  <c r="H28" i="3"/>
  <c r="Q29" i="1"/>
  <c r="X110" i="2"/>
  <c r="J86" i="2"/>
  <c r="C54" i="2"/>
  <c r="D31" i="3"/>
  <c r="X40" i="2"/>
  <c r="N29" i="3"/>
  <c r="X137" i="2"/>
  <c r="X118" i="2"/>
  <c r="D74" i="2"/>
  <c r="N32" i="3"/>
  <c r="R70" i="2"/>
  <c r="D31" i="2"/>
  <c r="X39" i="2"/>
  <c r="J117" i="2"/>
  <c r="C116" i="2"/>
  <c r="F29" i="3"/>
  <c r="R29" i="2"/>
  <c r="Y31" i="2"/>
  <c r="X139" i="2"/>
  <c r="X90" i="2"/>
  <c r="D49" i="2"/>
  <c r="N18" i="3"/>
  <c r="Q113" i="2"/>
  <c r="Q112" i="2"/>
  <c r="J105" i="2"/>
  <c r="M15" i="3"/>
  <c r="Y55" i="2"/>
  <c r="X64" i="2"/>
  <c r="J50" i="2"/>
  <c r="D15" i="3"/>
  <c r="X97" i="2"/>
  <c r="R138" i="2"/>
  <c r="D55" i="2"/>
  <c r="K24" i="3"/>
  <c r="R111" i="2"/>
  <c r="Q87" i="2"/>
  <c r="Y87" i="2" s="1"/>
  <c r="D141" i="2"/>
  <c r="K13" i="3"/>
  <c r="D85" i="2"/>
  <c r="P14" i="3"/>
  <c r="O27" i="3"/>
  <c r="X127" i="2"/>
  <c r="X89" i="2"/>
  <c r="P27" i="3"/>
  <c r="J137" i="2"/>
  <c r="O31" i="3"/>
  <c r="C107" i="2"/>
  <c r="C16" i="1"/>
  <c r="Y60" i="2"/>
  <c r="Q142" i="2"/>
  <c r="D26" i="1"/>
  <c r="R41" i="2"/>
  <c r="J79" i="2"/>
  <c r="C40" i="2"/>
  <c r="Q26" i="2"/>
  <c r="E28" i="3"/>
  <c r="R52" i="2"/>
  <c r="C125" i="2"/>
  <c r="C26" i="3"/>
  <c r="Q38" i="2"/>
  <c r="Y38" i="2" s="1"/>
  <c r="D130" i="2"/>
  <c r="P29" i="1"/>
  <c r="Q98" i="2"/>
  <c r="J110" i="2"/>
  <c r="C102" i="2"/>
  <c r="E24" i="3"/>
  <c r="X121" i="2"/>
  <c r="Q42" i="2"/>
  <c r="R54" i="2"/>
  <c r="R140" i="2"/>
  <c r="D35" i="2"/>
  <c r="F11" i="3"/>
  <c r="X29" i="2"/>
  <c r="R39" i="2"/>
  <c r="D26" i="2"/>
  <c r="G15" i="3"/>
  <c r="Y30" i="2"/>
  <c r="Q91" i="2"/>
  <c r="J98" i="2"/>
  <c r="E12" i="3"/>
  <c r="X105" i="2"/>
  <c r="R81" i="2"/>
  <c r="C30" i="2"/>
  <c r="N25" i="3"/>
  <c r="D63" i="2"/>
  <c r="D29" i="2"/>
  <c r="C14" i="3"/>
  <c r="C65" i="2"/>
  <c r="P13" i="3"/>
  <c r="Y85" i="2"/>
  <c r="Y113" i="2"/>
  <c r="G26" i="1"/>
  <c r="R96" i="2"/>
  <c r="J72" i="2"/>
  <c r="C43" i="2"/>
  <c r="Y114" i="2"/>
  <c r="J109" i="2"/>
  <c r="E27" i="3"/>
  <c r="R107" i="2"/>
  <c r="J123" i="2"/>
  <c r="C112" i="2"/>
  <c r="H32" i="3"/>
  <c r="Q45" i="2"/>
  <c r="D102" i="2"/>
  <c r="N28" i="1"/>
  <c r="Q133" i="2"/>
  <c r="J103" i="2"/>
  <c r="C88" i="2"/>
  <c r="R36" i="2"/>
  <c r="Q74" i="2"/>
  <c r="R109" i="2"/>
  <c r="Q92" i="2"/>
  <c r="D73" i="2"/>
  <c r="D11" i="3"/>
  <c r="Q120" i="2"/>
  <c r="X99" i="2"/>
  <c r="D109" i="2"/>
  <c r="N10" i="3"/>
  <c r="Y74" i="2"/>
  <c r="Q146" i="2"/>
  <c r="Y146" i="2" s="1"/>
  <c r="J144" i="2"/>
  <c r="K15" i="3"/>
  <c r="X145" i="2"/>
  <c r="J43" i="2"/>
  <c r="C111" i="2"/>
  <c r="F31" i="3"/>
  <c r="X123" i="2"/>
  <c r="Q78" i="2"/>
  <c r="D97" i="2"/>
  <c r="G14" i="3"/>
  <c r="K25" i="3"/>
  <c r="X50" i="2"/>
  <c r="Y67" i="2"/>
  <c r="Q48" i="2"/>
  <c r="X80" i="2"/>
  <c r="Y35" i="2"/>
  <c r="C29" i="3"/>
  <c r="Y117" i="2"/>
  <c r="Q145" i="2"/>
  <c r="Q144" i="2"/>
  <c r="Y144" i="2" s="1"/>
  <c r="J57" i="2"/>
  <c r="M11" i="3"/>
  <c r="Y96" i="2"/>
  <c r="J95" i="2"/>
  <c r="Y82" i="2"/>
  <c r="X135" i="2"/>
  <c r="J108" i="2"/>
  <c r="C98" i="2"/>
  <c r="K29" i="3"/>
  <c r="R130" i="2"/>
  <c r="C31" i="2"/>
  <c r="P25" i="1"/>
  <c r="R80" i="2"/>
  <c r="J96" i="2"/>
  <c r="C91" i="2"/>
  <c r="Y66" i="2"/>
  <c r="R91" i="2"/>
  <c r="J82" i="2"/>
  <c r="R124" i="2"/>
  <c r="Q28" i="2"/>
  <c r="D41" i="2"/>
  <c r="F26" i="3"/>
  <c r="X36" i="2"/>
  <c r="X63" i="2"/>
  <c r="D95" i="2"/>
  <c r="F12" i="3"/>
  <c r="Y121" i="2"/>
  <c r="Y69" i="2"/>
  <c r="J129" i="2"/>
  <c r="C15" i="3"/>
  <c r="R75" i="2"/>
  <c r="J28" i="2"/>
  <c r="C81" i="2"/>
  <c r="M29" i="3"/>
  <c r="R38" i="2"/>
  <c r="Y143" i="2"/>
  <c r="D83" i="2"/>
  <c r="C17" i="3"/>
  <c r="D44" i="2"/>
  <c r="D129" i="2"/>
  <c r="P32" i="3"/>
  <c r="N16" i="3"/>
  <c r="R40" i="2"/>
  <c r="J130" i="2"/>
  <c r="D104" i="2"/>
  <c r="X100" i="2"/>
  <c r="D16" i="1"/>
  <c r="X61" i="2"/>
  <c r="Q64" i="2"/>
  <c r="D59" i="2"/>
  <c r="L24" i="3"/>
  <c r="Y142" i="2"/>
  <c r="J73" i="2"/>
  <c r="R50" i="2"/>
  <c r="J101" i="2"/>
  <c r="C84" i="2"/>
  <c r="P31" i="3"/>
  <c r="Y101" i="2"/>
  <c r="C128" i="2"/>
  <c r="Q129" i="2"/>
  <c r="Y129" i="2" s="1"/>
  <c r="Q128" i="2"/>
  <c r="J81" i="2"/>
  <c r="M13" i="3"/>
  <c r="X119" i="2"/>
  <c r="J118" i="2"/>
  <c r="R116" i="2"/>
  <c r="R33" i="2"/>
  <c r="D138" i="2"/>
  <c r="N24" i="3"/>
  <c r="R134" i="2"/>
  <c r="R85" i="2"/>
  <c r="D65" i="2"/>
  <c r="F17" i="3"/>
  <c r="X133" i="2"/>
  <c r="D136" i="2"/>
  <c r="M25" i="3"/>
  <c r="X103" i="2"/>
  <c r="J74" i="2"/>
  <c r="C51" i="2"/>
  <c r="H29" i="3"/>
  <c r="R93" i="2"/>
  <c r="D69" i="2"/>
  <c r="P17" i="3"/>
  <c r="C57" i="2"/>
  <c r="X27" i="2"/>
  <c r="J38" i="2"/>
  <c r="Q119" i="2"/>
  <c r="X134" i="2"/>
  <c r="F26" i="1"/>
  <c r="C31" i="3"/>
  <c r="Q131" i="2"/>
  <c r="Y131" i="2" s="1"/>
  <c r="C132" i="2"/>
  <c r="R26" i="2"/>
  <c r="Y122" i="2"/>
  <c r="D120" i="2"/>
  <c r="E18" i="3"/>
  <c r="Y83" i="2"/>
  <c r="D45" i="2"/>
  <c r="M28" i="1"/>
  <c r="R105" i="2"/>
  <c r="J94" i="2"/>
  <c r="C70" i="2"/>
  <c r="E30" i="3"/>
  <c r="Q34" i="2"/>
  <c r="C100" i="2"/>
  <c r="X45" i="2"/>
  <c r="Y51" i="2"/>
  <c r="D107" i="2"/>
  <c r="L17" i="3"/>
  <c r="Y94" i="2"/>
  <c r="X129" i="2"/>
  <c r="J111" i="2"/>
  <c r="Q29" i="2"/>
  <c r="J27" i="2"/>
  <c r="C79" i="2"/>
  <c r="K26" i="3"/>
  <c r="Q47" i="2"/>
  <c r="X33" i="2"/>
  <c r="D51" i="2"/>
  <c r="E29" i="3"/>
  <c r="Y133" i="2"/>
  <c r="R48" i="2"/>
  <c r="D143" i="2"/>
  <c r="C27" i="3"/>
  <c r="X111" i="2"/>
  <c r="J58" i="2"/>
  <c r="C53" i="2"/>
  <c r="H30" i="3"/>
  <c r="R76" i="2"/>
  <c r="D71" i="2"/>
  <c r="D27" i="3"/>
  <c r="J28" i="1"/>
  <c r="X136" i="2"/>
  <c r="D30" i="2"/>
  <c r="D32" i="3"/>
  <c r="Q106" i="2"/>
  <c r="H15" i="3"/>
  <c r="Y70" i="2"/>
  <c r="X48" i="2"/>
  <c r="R58" i="2"/>
  <c r="J67" i="2"/>
  <c r="X68" i="2"/>
  <c r="R46" i="2"/>
  <c r="D126" i="2"/>
  <c r="C16" i="3"/>
  <c r="H25" i="1"/>
  <c r="D144" i="2"/>
  <c r="Y37" i="2"/>
  <c r="J87" i="2"/>
  <c r="C56" i="2"/>
  <c r="R135" i="2"/>
  <c r="C72" i="2"/>
  <c r="Q136" i="2"/>
  <c r="Y136" i="2" s="1"/>
  <c r="R110" i="2"/>
  <c r="D61" i="2"/>
  <c r="O13" i="3"/>
  <c r="Y90" i="2"/>
  <c r="X94" i="2"/>
  <c r="J104" i="2"/>
  <c r="Q84" i="2"/>
  <c r="J26" i="2"/>
  <c r="C49" i="2"/>
  <c r="G32" i="3"/>
  <c r="Q102" i="2"/>
  <c r="Y102" i="2" s="1"/>
  <c r="X88" i="2"/>
  <c r="D37" i="2"/>
  <c r="C11" i="3"/>
  <c r="Y124" i="2"/>
  <c r="D99" i="2"/>
  <c r="M29" i="1"/>
  <c r="X78" i="2"/>
  <c r="J142" i="2"/>
  <c r="C58" i="2"/>
  <c r="D30" i="3"/>
  <c r="R100" i="2"/>
  <c r="R97" i="2"/>
  <c r="C46" i="2"/>
  <c r="H24" i="3"/>
  <c r="P26" i="1"/>
  <c r="D77" i="2"/>
  <c r="C129" i="2"/>
  <c r="Y78" i="2"/>
  <c r="E10" i="3"/>
  <c r="D70" i="2"/>
  <c r="Q118" i="2"/>
  <c r="J119" i="2"/>
  <c r="C113" i="2"/>
  <c r="C69" i="2"/>
  <c r="X87" i="2"/>
  <c r="X47" i="2"/>
  <c r="Q110" i="2"/>
  <c r="D112" i="2"/>
  <c r="H14" i="3"/>
  <c r="Q56" i="2"/>
  <c r="D116" i="2"/>
  <c r="G25" i="1"/>
  <c r="Q89" i="2"/>
  <c r="J80" i="2"/>
  <c r="C59" i="2"/>
  <c r="Y98" i="2"/>
  <c r="X115" i="2"/>
  <c r="M12" i="3"/>
  <c r="X52" i="2"/>
  <c r="R30" i="2"/>
  <c r="D47" i="2"/>
  <c r="D18" i="3"/>
  <c r="J26" i="1"/>
  <c r="X65" i="2"/>
  <c r="J89" i="2"/>
  <c r="R114" i="2"/>
  <c r="J140" i="2"/>
  <c r="C90" i="2"/>
  <c r="D29" i="3"/>
  <c r="R108" i="2"/>
  <c r="X143" i="2"/>
  <c r="D39" i="2"/>
  <c r="P24" i="3"/>
  <c r="M26" i="1"/>
  <c r="X28" i="2"/>
  <c r="D87" i="2"/>
  <c r="R144" i="2"/>
  <c r="J135" i="2"/>
  <c r="C122" i="2"/>
  <c r="Y139" i="2"/>
  <c r="Q99" i="2"/>
  <c r="J51" i="2"/>
  <c r="C127" i="2"/>
  <c r="P29" i="3"/>
  <c r="Q25" i="1"/>
  <c r="C33" i="2"/>
  <c r="O17" i="3"/>
  <c r="N11" i="3"/>
  <c r="K11" i="3"/>
  <c r="R78" i="2"/>
  <c r="Q100" i="2"/>
  <c r="R99" i="2"/>
  <c r="Y86" i="2"/>
  <c r="Q27" i="2"/>
  <c r="M31" i="3"/>
  <c r="D103" i="2"/>
  <c r="Q79" i="2"/>
  <c r="Q46" i="2"/>
  <c r="D98" i="2"/>
  <c r="H25" i="3"/>
  <c r="R125" i="2"/>
  <c r="D90" i="2"/>
  <c r="X141" i="2"/>
  <c r="X140" i="2"/>
  <c r="J65" i="2"/>
  <c r="M10" i="3"/>
  <c r="Y80" i="2"/>
  <c r="R101" i="2"/>
  <c r="F15" i="3"/>
  <c r="R113" i="2"/>
  <c r="D145" i="2"/>
  <c r="G17" i="3"/>
  <c r="C33" i="1"/>
  <c r="Q73" i="2"/>
  <c r="Q28" i="1"/>
  <c r="Y88" i="2"/>
  <c r="J133" i="2"/>
  <c r="C42" i="2"/>
  <c r="L26" i="3"/>
  <c r="Q109" i="2"/>
  <c r="Y109" i="2" s="1"/>
  <c r="X86" i="2"/>
  <c r="D57" i="2"/>
  <c r="O29" i="3"/>
  <c r="R92" i="2"/>
  <c r="X83" i="2"/>
  <c r="C62" i="2"/>
  <c r="J25" i="1"/>
  <c r="Q57" i="2"/>
  <c r="Y57" i="2" s="1"/>
  <c r="J128" i="2"/>
  <c r="C61" i="2"/>
  <c r="Y39" i="2"/>
  <c r="Q68" i="2"/>
  <c r="J36" i="2"/>
  <c r="C97" i="2"/>
  <c r="G24" i="3"/>
  <c r="X93" i="2"/>
  <c r="G12" i="3"/>
  <c r="H27" i="3"/>
  <c r="Y40" i="2"/>
  <c r="D123" i="2"/>
  <c r="C78" i="2"/>
  <c r="E14" i="1"/>
  <c r="C86" i="2"/>
  <c r="D132" i="2"/>
  <c r="C120" i="2"/>
  <c r="Q140" i="2"/>
  <c r="J138" i="2"/>
  <c r="D56" i="2"/>
  <c r="Q134" i="2"/>
  <c r="Y111" i="2"/>
  <c r="D84" i="2"/>
  <c r="G18" i="3"/>
  <c r="R132" i="2"/>
  <c r="C114" i="2"/>
  <c r="R56" i="2"/>
  <c r="X60" i="2"/>
  <c r="D75" i="2"/>
  <c r="L16" i="3"/>
  <c r="Y126" i="2"/>
  <c r="X104" i="2"/>
  <c r="O18" i="3"/>
  <c r="Q63" i="2"/>
  <c r="Y63" i="2" s="1"/>
  <c r="Y33" i="2"/>
  <c r="D146" i="2"/>
  <c r="E14" i="3"/>
  <c r="X125" i="2"/>
  <c r="X124" i="2"/>
  <c r="P28" i="1"/>
  <c r="R89" i="2"/>
  <c r="J126" i="2"/>
  <c r="C134" i="2"/>
  <c r="E31" i="3"/>
  <c r="X30" i="2"/>
  <c r="J35" i="2"/>
  <c r="C95" i="2"/>
  <c r="L32" i="3"/>
  <c r="Q104" i="2"/>
  <c r="X138" i="2"/>
  <c r="C143" i="2"/>
  <c r="X109" i="2"/>
  <c r="X108" i="2"/>
  <c r="J113" i="2"/>
  <c r="M16" i="3"/>
  <c r="Q97" i="2"/>
  <c r="R98" i="2"/>
  <c r="J29" i="2"/>
  <c r="C67" i="2"/>
  <c r="D28" i="3"/>
  <c r="X81" i="2"/>
  <c r="O25" i="3"/>
  <c r="E26" i="3"/>
  <c r="Y62" i="2"/>
  <c r="X144" i="2"/>
  <c r="Y48" i="2"/>
  <c r="J125" i="2"/>
  <c r="Y130" i="2"/>
  <c r="C19" i="1"/>
  <c r="Y103" i="2"/>
  <c r="Y128" i="2"/>
  <c r="Y108" i="2"/>
  <c r="Y123" i="2"/>
  <c r="Y32" i="2"/>
  <c r="Y112" i="2"/>
  <c r="Y26" i="2"/>
  <c r="Y120" i="2"/>
  <c r="Y145" i="2"/>
  <c r="Y119" i="2"/>
  <c r="Y34" i="2"/>
  <c r="Y106" i="2"/>
  <c r="Y73" i="2"/>
  <c r="Y104" i="2"/>
  <c r="Y93" i="2"/>
  <c r="Y91" i="2"/>
  <c r="Y45" i="2"/>
  <c r="Y92" i="2"/>
  <c r="Y64" i="2"/>
  <c r="Y118" i="2"/>
  <c r="Y56" i="2"/>
  <c r="Y42" i="2"/>
  <c r="Y29" i="2"/>
  <c r="Y84" i="2"/>
  <c r="Y89" i="2"/>
  <c r="Y100" i="2"/>
  <c r="Y28" i="2"/>
  <c r="Y47" i="2"/>
  <c r="Y27" i="2"/>
  <c r="Y110" i="2"/>
  <c r="Y46" i="2"/>
  <c r="Y79" i="2"/>
  <c r="Y68" i="2"/>
  <c r="Y140" i="2"/>
  <c r="Y134" i="2"/>
  <c r="Y99" i="2"/>
  <c r="Y97" i="2"/>
  <c r="AA97" i="2" l="1"/>
  <c r="AA99" i="2"/>
  <c r="AA134" i="2"/>
  <c r="AA140" i="2"/>
  <c r="AA68" i="2"/>
  <c r="AA79" i="2"/>
  <c r="AA46" i="2"/>
  <c r="AA110" i="2"/>
  <c r="AA27" i="2"/>
  <c r="AA47" i="2"/>
  <c r="AA28" i="2"/>
  <c r="AA100" i="2"/>
  <c r="AA89" i="2"/>
  <c r="AA84" i="2"/>
  <c r="AA29" i="2"/>
  <c r="AA42" i="2"/>
  <c r="AA56" i="2"/>
  <c r="AA118" i="2"/>
  <c r="AA64" i="2"/>
  <c r="AA92" i="2"/>
  <c r="AA45" i="2"/>
  <c r="AA91" i="2"/>
  <c r="AA93" i="2"/>
  <c r="AA104" i="2"/>
  <c r="AA73" i="2"/>
  <c r="AA106" i="2"/>
  <c r="AA34" i="2"/>
  <c r="AA119" i="2"/>
  <c r="AA145" i="2"/>
  <c r="AA120" i="2"/>
  <c r="AA26" i="2"/>
  <c r="AA112" i="2"/>
  <c r="AA32" i="2"/>
  <c r="AA123" i="2"/>
  <c r="AA108" i="2"/>
  <c r="AA128" i="2"/>
  <c r="AA103" i="2"/>
  <c r="AA130" i="2"/>
  <c r="L125" i="2"/>
  <c r="AA48" i="2"/>
  <c r="Z144" i="2"/>
  <c r="AA62" i="2"/>
  <c r="Z81" i="2"/>
  <c r="L29" i="2"/>
  <c r="T98" i="2"/>
  <c r="L113" i="2"/>
  <c r="Z108" i="2"/>
  <c r="Z109" i="2"/>
  <c r="S97" i="2"/>
  <c r="Z138" i="2"/>
  <c r="L35" i="2"/>
  <c r="Z30" i="2"/>
  <c r="L126" i="2"/>
  <c r="T89" i="2"/>
  <c r="Z124" i="2"/>
  <c r="Z125" i="2"/>
  <c r="F146" i="2"/>
  <c r="AA33" i="2"/>
  <c r="AA63" i="2"/>
  <c r="Z104" i="2"/>
  <c r="AA126" i="2"/>
  <c r="F75" i="2"/>
  <c r="Z60" i="2"/>
  <c r="T56" i="2"/>
  <c r="T132" i="2"/>
  <c r="F84" i="2"/>
  <c r="AA111" i="2"/>
  <c r="F56" i="2"/>
  <c r="L138" i="2"/>
  <c r="F132" i="2"/>
  <c r="F123" i="2"/>
  <c r="AA40" i="2"/>
  <c r="Z93" i="2"/>
  <c r="L36" i="2"/>
  <c r="AA39" i="2"/>
  <c r="L128" i="2"/>
  <c r="AA57" i="2"/>
  <c r="Z83" i="2"/>
  <c r="T92" i="2"/>
  <c r="F57" i="2"/>
  <c r="Z86" i="2"/>
  <c r="AA109" i="2"/>
  <c r="L133" i="2"/>
  <c r="AA88" i="2"/>
  <c r="C34" i="1"/>
  <c r="F145" i="2"/>
  <c r="T113" i="2"/>
  <c r="T101" i="2"/>
  <c r="AA80" i="2"/>
  <c r="L65" i="2"/>
  <c r="Z140" i="2"/>
  <c r="Z141" i="2"/>
  <c r="F90" i="2"/>
  <c r="T125" i="2"/>
  <c r="F98" i="2"/>
  <c r="F103" i="2"/>
  <c r="AA86" i="2"/>
  <c r="T99" i="2"/>
  <c r="T78" i="2"/>
  <c r="L51" i="2"/>
  <c r="S99" i="2"/>
  <c r="AA139" i="2"/>
  <c r="L135" i="2"/>
  <c r="T144" i="2"/>
  <c r="F87" i="2"/>
  <c r="Z28" i="2"/>
  <c r="F39" i="2"/>
  <c r="Z143" i="2"/>
  <c r="T108" i="2"/>
  <c r="L140" i="2"/>
  <c r="T114" i="2"/>
  <c r="L89" i="2"/>
  <c r="Z65" i="2"/>
  <c r="F47" i="2"/>
  <c r="T30" i="2"/>
  <c r="Z52" i="2"/>
  <c r="Z115" i="2"/>
  <c r="AA98" i="2"/>
  <c r="L80" i="2"/>
  <c r="F116" i="2"/>
  <c r="F112" i="2"/>
  <c r="Z47" i="2"/>
  <c r="Z87" i="2"/>
  <c r="L119" i="2"/>
  <c r="F70" i="2"/>
  <c r="AA78" i="2"/>
  <c r="F77" i="2"/>
  <c r="T97" i="2"/>
  <c r="T100" i="2"/>
  <c r="L142" i="2"/>
  <c r="Z78" i="2"/>
  <c r="F99" i="2"/>
  <c r="AA124" i="2"/>
  <c r="F37" i="2"/>
  <c r="Z88" i="2"/>
  <c r="AA102" i="2"/>
  <c r="L26" i="2"/>
  <c r="L104" i="2"/>
  <c r="Z94" i="2"/>
  <c r="AA90" i="2"/>
  <c r="S134" i="2"/>
  <c r="S140" i="2"/>
  <c r="S68" i="2"/>
  <c r="S79" i="2"/>
  <c r="F61" i="2"/>
  <c r="T110" i="2"/>
  <c r="AA136" i="2"/>
  <c r="T135" i="2"/>
  <c r="L87" i="2"/>
  <c r="AA37" i="2"/>
  <c r="F144" i="2"/>
  <c r="F126" i="2"/>
  <c r="T46" i="2"/>
  <c r="Z68" i="2"/>
  <c r="L67" i="2"/>
  <c r="T58" i="2"/>
  <c r="Z48" i="2"/>
  <c r="AA70" i="2"/>
  <c r="F30" i="2"/>
  <c r="Z136" i="2"/>
  <c r="F71" i="2"/>
  <c r="T76" i="2"/>
  <c r="L58" i="2"/>
  <c r="Z111" i="2"/>
  <c r="F143" i="2"/>
  <c r="T48" i="2"/>
  <c r="AA133" i="2"/>
  <c r="F51" i="2"/>
  <c r="Z33" i="2"/>
  <c r="L27" i="2"/>
  <c r="L111" i="2"/>
  <c r="Z129" i="2"/>
  <c r="AA94" i="2"/>
  <c r="F107" i="2"/>
  <c r="AA51" i="2"/>
  <c r="Z45" i="2"/>
  <c r="L94" i="2"/>
  <c r="T105" i="2"/>
  <c r="F45" i="2"/>
  <c r="AA83" i="2"/>
  <c r="F120" i="2"/>
  <c r="AA122" i="2"/>
  <c r="T26" i="2"/>
  <c r="AA131" i="2"/>
  <c r="Z134" i="2"/>
  <c r="L38" i="2"/>
  <c r="Z27" i="2"/>
  <c r="F69" i="2"/>
  <c r="T93" i="2"/>
  <c r="L74" i="2"/>
  <c r="Z103" i="2"/>
  <c r="F136" i="2"/>
  <c r="Z133" i="2"/>
  <c r="F65" i="2"/>
  <c r="T85" i="2"/>
  <c r="T134" i="2"/>
  <c r="F138" i="2"/>
  <c r="T33" i="2"/>
  <c r="S46" i="2"/>
  <c r="S110" i="2"/>
  <c r="T116" i="2"/>
  <c r="L118" i="2"/>
  <c r="Z119" i="2"/>
  <c r="L81" i="2"/>
  <c r="AA129" i="2"/>
  <c r="AA101" i="2"/>
  <c r="L101" i="2"/>
  <c r="T50" i="2"/>
  <c r="L73" i="2"/>
  <c r="AA142" i="2"/>
  <c r="F59" i="2"/>
  <c r="Z61" i="2"/>
  <c r="Z100" i="2"/>
  <c r="F104" i="2"/>
  <c r="L130" i="2"/>
  <c r="T40" i="2"/>
  <c r="F129" i="2"/>
  <c r="F44" i="2"/>
  <c r="F83" i="2"/>
  <c r="AA143" i="2"/>
  <c r="T38" i="2"/>
  <c r="L28" i="2"/>
  <c r="T75" i="2"/>
  <c r="L129" i="2"/>
  <c r="AA69" i="2"/>
  <c r="AA121" i="2"/>
  <c r="F95" i="2"/>
  <c r="Z63" i="2"/>
  <c r="Z36" i="2"/>
  <c r="F41" i="2"/>
  <c r="T124" i="2"/>
  <c r="L82" i="2"/>
  <c r="T91" i="2"/>
  <c r="AA66" i="2"/>
  <c r="L96" i="2"/>
  <c r="T80" i="2"/>
  <c r="T130" i="2"/>
  <c r="L108" i="2"/>
  <c r="Z135" i="2"/>
  <c r="AA82" i="2"/>
  <c r="L95" i="2"/>
  <c r="AA96" i="2"/>
  <c r="L57" i="2"/>
  <c r="AA144" i="2"/>
  <c r="AA117" i="2"/>
  <c r="AA35" i="2"/>
  <c r="Z80" i="2"/>
  <c r="S48" i="2"/>
  <c r="AA67" i="2"/>
  <c r="Z50" i="2"/>
  <c r="F97" i="2"/>
  <c r="S78" i="2"/>
  <c r="Z123" i="2"/>
  <c r="L43" i="2"/>
  <c r="Z145" i="2"/>
  <c r="L144" i="2"/>
  <c r="AA146" i="2"/>
  <c r="AA74" i="2"/>
  <c r="F109" i="2"/>
  <c r="S27" i="2"/>
  <c r="S47" i="2"/>
  <c r="S28" i="2"/>
  <c r="Z99" i="2"/>
  <c r="F73" i="2"/>
  <c r="T109" i="2"/>
  <c r="S74" i="2"/>
  <c r="T36" i="2"/>
  <c r="L103" i="2"/>
  <c r="S133" i="2"/>
  <c r="F102" i="2"/>
  <c r="L123" i="2"/>
  <c r="T107" i="2"/>
  <c r="L109" i="2"/>
  <c r="AA114" i="2"/>
  <c r="L72" i="2"/>
  <c r="T96" i="2"/>
  <c r="AA113" i="2"/>
  <c r="AA85" i="2"/>
  <c r="F29" i="2"/>
  <c r="F63" i="2"/>
  <c r="T81" i="2"/>
  <c r="Z105" i="2"/>
  <c r="L98" i="2"/>
  <c r="AA30" i="2"/>
  <c r="F26" i="2"/>
  <c r="T39" i="2"/>
  <c r="Z29" i="2"/>
  <c r="S100" i="2"/>
  <c r="S89" i="2"/>
  <c r="S84" i="2"/>
  <c r="S29" i="2"/>
  <c r="F35" i="2"/>
  <c r="T140" i="2"/>
  <c r="T54" i="2"/>
  <c r="S42" i="2"/>
  <c r="Z121" i="2"/>
  <c r="L110" i="2"/>
  <c r="S98" i="2"/>
  <c r="F130" i="2"/>
  <c r="AA38" i="2"/>
  <c r="T52" i="2"/>
  <c r="L79" i="2"/>
  <c r="T41" i="2"/>
  <c r="S142" i="2"/>
  <c r="AA60" i="2"/>
  <c r="L137" i="2"/>
  <c r="Z89" i="2"/>
  <c r="Z127" i="2"/>
  <c r="F85" i="2"/>
  <c r="F141" i="2"/>
  <c r="AA87" i="2"/>
  <c r="T111" i="2"/>
  <c r="F55" i="2"/>
  <c r="T138" i="2"/>
  <c r="Z97" i="2"/>
  <c r="L50" i="2"/>
  <c r="Z64" i="2"/>
  <c r="AA55" i="2"/>
  <c r="L105" i="2"/>
  <c r="F49" i="2"/>
  <c r="Z90" i="2"/>
  <c r="Z139" i="2"/>
  <c r="AA31" i="2"/>
  <c r="T29" i="2"/>
  <c r="L117" i="2"/>
  <c r="Z39" i="2"/>
  <c r="F31" i="2"/>
  <c r="T70" i="2"/>
  <c r="F74" i="2"/>
  <c r="Z118" i="2"/>
  <c r="Z137" i="2"/>
  <c r="Z40" i="2"/>
  <c r="L86" i="2"/>
  <c r="Z110" i="2"/>
  <c r="AA54" i="2"/>
  <c r="F88" i="2"/>
  <c r="AA41" i="2"/>
  <c r="F134" i="2"/>
  <c r="L106" i="2"/>
  <c r="T133" i="2"/>
  <c r="T44" i="2"/>
  <c r="L59" i="2"/>
  <c r="F28" i="2"/>
  <c r="Z26" i="2"/>
  <c r="F53" i="2"/>
  <c r="T83" i="2"/>
  <c r="Z98" i="2"/>
  <c r="L30" i="2"/>
  <c r="AA138" i="2"/>
  <c r="AA137" i="2"/>
  <c r="S56" i="2"/>
  <c r="S118" i="2"/>
  <c r="S64" i="2"/>
  <c r="S92" i="2"/>
  <c r="S45" i="2"/>
  <c r="S91" i="2"/>
  <c r="L120" i="2"/>
  <c r="T64" i="2"/>
  <c r="F79" i="2"/>
  <c r="S85" i="2"/>
  <c r="S40" i="2"/>
  <c r="AA95" i="2"/>
  <c r="Z114" i="2"/>
  <c r="L124" i="2"/>
  <c r="F91" i="2"/>
  <c r="S122" i="2"/>
  <c r="F86" i="2"/>
  <c r="AA44" i="2"/>
  <c r="T45" i="2"/>
  <c r="T37" i="2"/>
  <c r="L93" i="2"/>
  <c r="Z55" i="2"/>
  <c r="AA49" i="2"/>
  <c r="AA75" i="2"/>
  <c r="AA52" i="2"/>
  <c r="AA77" i="2"/>
  <c r="AA59" i="2"/>
  <c r="Z82" i="2"/>
  <c r="T118" i="2"/>
  <c r="AA127" i="2"/>
  <c r="L31" i="2"/>
  <c r="L42" i="2"/>
  <c r="F122" i="2"/>
  <c r="AA115" i="2"/>
  <c r="F60" i="2"/>
  <c r="L121" i="2"/>
  <c r="T103" i="2"/>
  <c r="T104" i="2"/>
  <c r="F67" i="2"/>
  <c r="T106" i="2"/>
  <c r="Z43" i="2"/>
  <c r="L37" i="2"/>
  <c r="S93" i="2"/>
  <c r="L127" i="2"/>
  <c r="T129" i="2"/>
  <c r="F93" i="2"/>
  <c r="T127" i="2"/>
  <c r="S30" i="2"/>
  <c r="Z59" i="2"/>
  <c r="L139" i="2"/>
  <c r="Z96" i="2"/>
  <c r="AA36" i="2"/>
  <c r="L88" i="2"/>
  <c r="T143" i="2"/>
  <c r="F100" i="2"/>
  <c r="Z130" i="2"/>
  <c r="Z35" i="2"/>
  <c r="L100" i="2"/>
  <c r="S139" i="2"/>
  <c r="Z72" i="2"/>
  <c r="AA43" i="2"/>
  <c r="AA53" i="2"/>
  <c r="S90" i="2"/>
  <c r="F127" i="2"/>
  <c r="AA107" i="2"/>
  <c r="T69" i="2"/>
  <c r="AA105" i="2"/>
  <c r="L136" i="2"/>
  <c r="Z53" i="2"/>
  <c r="F81" i="2"/>
  <c r="AA81" i="2"/>
  <c r="L44" i="2"/>
  <c r="L134" i="2"/>
  <c r="S82" i="2"/>
  <c r="F139" i="2"/>
  <c r="Z44" i="2"/>
  <c r="S33" i="2"/>
  <c r="S94" i="2"/>
  <c r="S143" i="2"/>
  <c r="Z41" i="2"/>
  <c r="L102" i="2"/>
  <c r="S104" i="2"/>
  <c r="S73" i="2"/>
  <c r="S106" i="2"/>
  <c r="S34" i="2"/>
  <c r="S119" i="2"/>
  <c r="S145" i="2"/>
  <c r="S120" i="2"/>
  <c r="S26" i="2"/>
  <c r="S112" i="2"/>
  <c r="S32" i="2"/>
  <c r="S123" i="2"/>
  <c r="S108" i="2"/>
  <c r="F114" i="2"/>
  <c r="Z42" i="2"/>
  <c r="Z75" i="2"/>
  <c r="T55" i="2"/>
  <c r="L115" i="2"/>
  <c r="Z112" i="2"/>
  <c r="S96" i="2"/>
  <c r="AA50" i="2"/>
  <c r="AA135" i="2"/>
  <c r="L45" i="2"/>
  <c r="S36" i="2"/>
  <c r="AA58" i="2"/>
  <c r="AA76" i="2"/>
  <c r="F40" i="2"/>
  <c r="F115" i="2"/>
  <c r="S111" i="2"/>
  <c r="L143" i="2"/>
  <c r="S137" i="2"/>
  <c r="F111" i="2"/>
  <c r="T31" i="2"/>
  <c r="Z38" i="2"/>
  <c r="S86" i="2"/>
  <c r="L141" i="2"/>
  <c r="Z49" i="2"/>
  <c r="L97" i="2"/>
  <c r="T119" i="2"/>
  <c r="T120" i="2"/>
  <c r="T47" i="2"/>
  <c r="F106" i="2"/>
  <c r="Z70" i="2"/>
  <c r="AA125" i="2"/>
  <c r="L116" i="2"/>
  <c r="T136" i="2"/>
  <c r="F128" i="2"/>
  <c r="Z106" i="2"/>
  <c r="S35" i="2"/>
  <c r="Z85" i="2"/>
  <c r="T49" i="2"/>
  <c r="Z57" i="2"/>
  <c r="S66" i="2"/>
  <c r="AA65" i="2"/>
  <c r="F101" i="2"/>
  <c r="T128" i="2"/>
  <c r="L52" i="2"/>
  <c r="Z74" i="2"/>
  <c r="Z142" i="2"/>
  <c r="L132" i="2"/>
  <c r="F33" i="2"/>
  <c r="T43" i="2"/>
  <c r="L34" i="2"/>
  <c r="T73" i="2"/>
  <c r="F113" i="2"/>
  <c r="F125" i="2"/>
  <c r="T94" i="2"/>
  <c r="Z116" i="2"/>
  <c r="S31" i="2"/>
  <c r="L122" i="2"/>
  <c r="S107" i="2"/>
  <c r="L112" i="2"/>
  <c r="Z69" i="2"/>
  <c r="Z132" i="2"/>
  <c r="F118" i="2"/>
  <c r="T35" i="2"/>
  <c r="Z34" i="2"/>
  <c r="L131" i="2"/>
  <c r="F142" i="2"/>
  <c r="S39" i="2"/>
  <c r="T63" i="2"/>
  <c r="F58" i="2"/>
  <c r="AA141" i="2"/>
  <c r="S141" i="2"/>
  <c r="S131" i="2"/>
  <c r="S127" i="2"/>
  <c r="S146" i="2"/>
  <c r="S138" i="2"/>
  <c r="S102" i="2"/>
  <c r="S117" i="2"/>
  <c r="S128" i="2"/>
  <c r="S125" i="2"/>
  <c r="S63" i="2"/>
  <c r="S136" i="2"/>
  <c r="S38" i="2"/>
  <c r="S44" i="2"/>
  <c r="S43" i="2"/>
  <c r="S144" i="2"/>
  <c r="L85" i="2"/>
  <c r="AA116" i="2"/>
  <c r="F137" i="2"/>
  <c r="F38" i="2"/>
  <c r="F52" i="2"/>
  <c r="F66" i="2"/>
  <c r="F80" i="2"/>
  <c r="F94" i="2"/>
  <c r="F124" i="2"/>
  <c r="F27" i="2"/>
  <c r="L41" i="2"/>
  <c r="L56" i="2"/>
  <c r="L63" i="2"/>
  <c r="L70" i="2"/>
  <c r="L77" i="2"/>
  <c r="L84" i="2"/>
  <c r="L99" i="2"/>
  <c r="S58" i="2"/>
  <c r="S83" i="2"/>
  <c r="Z56" i="2"/>
  <c r="Z120" i="2"/>
  <c r="T53" i="2"/>
  <c r="T117" i="2"/>
  <c r="S55" i="2"/>
  <c r="Z131" i="2"/>
  <c r="Z76" i="2"/>
  <c r="S105" i="2"/>
  <c r="S50" i="2"/>
  <c r="T121" i="2"/>
  <c r="T66" i="2"/>
  <c r="Z31" i="2"/>
  <c r="T123" i="2"/>
  <c r="T68" i="2"/>
  <c r="T145" i="2"/>
  <c r="T61" i="2"/>
  <c r="Z146" i="2"/>
  <c r="Z91" i="2"/>
  <c r="S53" i="2"/>
  <c r="T79" i="2"/>
  <c r="T90" i="2"/>
  <c r="T72" i="2"/>
  <c r="F42" i="2"/>
  <c r="L92" i="2"/>
  <c r="AA71" i="2"/>
  <c r="AA132" i="2"/>
  <c r="F72" i="2"/>
  <c r="F105" i="2"/>
  <c r="F36" i="2"/>
  <c r="F50" i="2"/>
  <c r="F64" i="2"/>
  <c r="F78" i="2"/>
  <c r="F108" i="2"/>
  <c r="L114" i="2"/>
  <c r="L33" i="2"/>
  <c r="L48" i="2"/>
  <c r="L55" i="2"/>
  <c r="L62" i="2"/>
  <c r="L69" i="2"/>
  <c r="L76" i="2"/>
  <c r="L91" i="2"/>
  <c r="AA61" i="2"/>
  <c r="Z95" i="2"/>
  <c r="S60" i="2"/>
  <c r="S124" i="2"/>
  <c r="Z58" i="2"/>
  <c r="Z122" i="2"/>
  <c r="T62" i="2"/>
  <c r="S135" i="2"/>
  <c r="S80" i="2"/>
  <c r="Z113" i="2"/>
  <c r="T112" i="2"/>
  <c r="Z126" i="2"/>
  <c r="Z71" i="2"/>
  <c r="Z79" i="2"/>
  <c r="Z128" i="2"/>
  <c r="Z73" i="2"/>
  <c r="T42" i="2"/>
  <c r="Z66" i="2"/>
  <c r="S95" i="2"/>
  <c r="S101" i="2"/>
  <c r="Z84" i="2"/>
  <c r="T122" i="2"/>
  <c r="Z77" i="2"/>
  <c r="F82" i="2"/>
  <c r="S67" i="2"/>
  <c r="F135" i="2"/>
  <c r="F133" i="2"/>
  <c r="F121" i="2"/>
  <c r="F34" i="2"/>
  <c r="F48" i="2"/>
  <c r="F62" i="2"/>
  <c r="F92" i="2"/>
  <c r="L90" i="2"/>
  <c r="L66" i="2"/>
  <c r="L40" i="2"/>
  <c r="L47" i="2"/>
  <c r="L54" i="2"/>
  <c r="L61" i="2"/>
  <c r="L68" i="2"/>
  <c r="L83" i="2"/>
  <c r="T65" i="2"/>
  <c r="S62" i="2"/>
  <c r="S126" i="2"/>
  <c r="Z67" i="2"/>
  <c r="T87" i="2"/>
  <c r="T32" i="2"/>
  <c r="Z117" i="2"/>
  <c r="T57" i="2"/>
  <c r="S130" i="2"/>
  <c r="AA72" i="2"/>
  <c r="S132" i="2"/>
  <c r="S51" i="2"/>
  <c r="S70" i="2"/>
  <c r="S52" i="2"/>
  <c r="T102" i="2"/>
  <c r="T27" i="2"/>
  <c r="S88" i="2"/>
  <c r="T60" i="2"/>
  <c r="S81" i="2"/>
  <c r="F54" i="2"/>
  <c r="F68" i="2"/>
  <c r="E107" i="2"/>
  <c r="S41" i="2"/>
  <c r="E73" i="2"/>
  <c r="E63" i="2"/>
  <c r="E104" i="2"/>
  <c r="E78" i="2"/>
  <c r="E101" i="2"/>
  <c r="E76" i="2"/>
  <c r="E99" i="2"/>
  <c r="E118" i="2"/>
  <c r="E132" i="2"/>
  <c r="E146" i="2"/>
  <c r="E129" i="2"/>
  <c r="E71" i="2"/>
  <c r="E33" i="2"/>
  <c r="E144" i="2"/>
  <c r="E57" i="2"/>
  <c r="E44" i="2"/>
  <c r="E41" i="2"/>
  <c r="E39" i="2"/>
  <c r="E69" i="2"/>
  <c r="E67" i="2"/>
  <c r="E97" i="2"/>
  <c r="E127" i="2"/>
  <c r="E46" i="2"/>
  <c r="S87" i="2"/>
  <c r="E61" i="2"/>
  <c r="E122" i="2"/>
  <c r="E58" i="2"/>
  <c r="E53" i="2"/>
  <c r="E51" i="2"/>
  <c r="E81" i="2"/>
  <c r="E111" i="2"/>
  <c r="E30" i="2"/>
  <c r="S57" i="2"/>
  <c r="E60" i="2"/>
  <c r="E55" i="2"/>
  <c r="E85" i="2"/>
  <c r="E83" i="2"/>
  <c r="E113" i="2"/>
  <c r="E143" i="2"/>
  <c r="E62" i="2"/>
  <c r="S76" i="2"/>
  <c r="E139" i="2"/>
  <c r="E136" i="2"/>
  <c r="E29" i="2"/>
  <c r="E37" i="2"/>
  <c r="E35" i="2"/>
  <c r="E65" i="2"/>
  <c r="E95" i="2"/>
  <c r="S109" i="2"/>
  <c r="S113" i="2"/>
  <c r="E123" i="2"/>
  <c r="E120" i="2"/>
  <c r="E134" i="2"/>
  <c r="E42" i="2"/>
  <c r="E90" i="2"/>
  <c r="E49" i="2"/>
  <c r="E79" i="2"/>
  <c r="S103" i="2"/>
  <c r="E91" i="2"/>
  <c r="E88" i="2"/>
  <c r="E102" i="2"/>
  <c r="E116" i="2"/>
  <c r="E130" i="2"/>
  <c r="E77" i="2"/>
  <c r="E47" i="2"/>
  <c r="S129" i="2"/>
  <c r="E72" i="2"/>
  <c r="E100" i="2"/>
  <c r="E128" i="2"/>
  <c r="E31" i="2"/>
  <c r="S49" i="2"/>
  <c r="E59" i="2"/>
  <c r="E56" i="2"/>
  <c r="E70" i="2"/>
  <c r="E84" i="2"/>
  <c r="E98" i="2"/>
  <c r="E112" i="2"/>
  <c r="E125" i="2"/>
  <c r="E75" i="2"/>
  <c r="E86" i="2"/>
  <c r="E114" i="2"/>
  <c r="E43" i="2"/>
  <c r="E40" i="2"/>
  <c r="E54" i="2"/>
  <c r="E68" i="2"/>
  <c r="E82" i="2"/>
  <c r="E96" i="2"/>
  <c r="E26" i="2"/>
  <c r="E27" i="2"/>
  <c r="E140" i="2"/>
  <c r="E137" i="2"/>
  <c r="E135" i="2"/>
  <c r="E106" i="2"/>
  <c r="E36" i="2"/>
  <c r="E50" i="2"/>
  <c r="E64" i="2"/>
  <c r="E142" i="2"/>
  <c r="E124" i="2"/>
  <c r="E121" i="2"/>
  <c r="E119" i="2"/>
  <c r="E28" i="2"/>
  <c r="E74" i="2"/>
  <c r="E34" i="2"/>
  <c r="E48" i="2"/>
  <c r="E126" i="2"/>
  <c r="S65" i="2"/>
  <c r="E108" i="2"/>
  <c r="E105" i="2"/>
  <c r="E103" i="2"/>
  <c r="E133" i="2"/>
  <c r="E141" i="2"/>
  <c r="E32" i="2"/>
  <c r="E110" i="2"/>
  <c r="S75" i="2"/>
  <c r="S77" i="2"/>
  <c r="E45" i="2"/>
  <c r="E138" i="2"/>
  <c r="E93" i="2"/>
  <c r="E38" i="2"/>
  <c r="E52" i="2"/>
  <c r="E66" i="2"/>
  <c r="E80" i="2"/>
  <c r="F96" i="2"/>
  <c r="F110" i="2"/>
  <c r="F140" i="2"/>
  <c r="F43" i="2"/>
  <c r="L49" i="2"/>
  <c r="L64" i="2"/>
  <c r="L71" i="2"/>
  <c r="L78" i="2"/>
  <c r="L107" i="2"/>
  <c r="Z54" i="2"/>
  <c r="T51" i="2"/>
  <c r="T115" i="2"/>
  <c r="Z51" i="2"/>
  <c r="T126" i="2"/>
  <c r="T71" i="2"/>
  <c r="Z101" i="2"/>
  <c r="Z46" i="2"/>
  <c r="S114" i="2"/>
  <c r="S59" i="2"/>
  <c r="T146" i="2"/>
  <c r="S116" i="2"/>
  <c r="S61" i="2"/>
  <c r="Z102" i="2"/>
  <c r="S54" i="2"/>
  <c r="T141" i="2"/>
  <c r="T86" i="2"/>
  <c r="S37" i="2"/>
  <c r="S72" i="2"/>
  <c r="T74" i="2"/>
  <c r="E131" i="2"/>
  <c r="E92" i="2"/>
  <c r="E89" i="2"/>
  <c r="E87" i="2"/>
  <c r="E117" i="2"/>
  <c r="E115" i="2"/>
  <c r="E145" i="2"/>
  <c r="E109" i="2"/>
  <c r="E94" i="2"/>
  <c r="F119" i="2"/>
  <c r="F117" i="2"/>
  <c r="F131" i="2"/>
  <c r="F89" i="2"/>
  <c r="F32" i="2"/>
  <c r="F46" i="2"/>
  <c r="F76" i="2"/>
  <c r="L145" i="2"/>
  <c r="L146" i="2"/>
  <c r="L32" i="2"/>
  <c r="L39" i="2"/>
  <c r="L46" i="2"/>
  <c r="L53" i="2"/>
  <c r="L60" i="2"/>
  <c r="L75" i="2"/>
  <c r="S115" i="2"/>
  <c r="T67" i="2"/>
  <c r="T131" i="2"/>
  <c r="S71" i="2"/>
  <c r="T142" i="2"/>
  <c r="Z92" i="2"/>
  <c r="Z37" i="2"/>
  <c r="S121" i="2"/>
  <c r="Z62" i="2"/>
  <c r="T137" i="2"/>
  <c r="T82" i="2"/>
  <c r="T34" i="2"/>
  <c r="T139" i="2"/>
  <c r="T84" i="2"/>
  <c r="T28" i="2"/>
  <c r="T77" i="2"/>
  <c r="T59" i="2"/>
  <c r="Z107" i="2"/>
  <c r="Z32" i="2"/>
  <c r="T95" i="2"/>
  <c r="S69" i="2"/>
  <c r="T88" i="2"/>
  <c r="J12" i="3"/>
  <c r="J16" i="3"/>
  <c r="E15" i="1"/>
  <c r="D15" i="1"/>
  <c r="E17" i="1"/>
  <c r="D17" i="1"/>
  <c r="K104" i="2"/>
  <c r="K129" i="2"/>
  <c r="K69" i="2"/>
  <c r="K85" i="2"/>
  <c r="K116" i="2"/>
  <c r="K75" i="2"/>
  <c r="K96" i="2"/>
  <c r="K50" i="2"/>
  <c r="K34" i="2"/>
  <c r="K109" i="2"/>
  <c r="K89" i="2"/>
  <c r="K61" i="2"/>
  <c r="K31" i="2"/>
  <c r="K53" i="2"/>
  <c r="K37" i="2"/>
  <c r="K42" i="2"/>
  <c r="K32" i="2"/>
  <c r="K66" i="2"/>
  <c r="K123" i="2"/>
  <c r="K38" i="2"/>
  <c r="K78" i="2"/>
  <c r="K71" i="2"/>
  <c r="K67" i="2"/>
  <c r="K83" i="2"/>
  <c r="K130" i="2"/>
  <c r="K59" i="2"/>
  <c r="K86" i="2"/>
  <c r="K26" i="2"/>
  <c r="K64" i="2"/>
  <c r="K48" i="2"/>
  <c r="K131" i="2"/>
  <c r="K94" i="2"/>
  <c r="K139" i="2"/>
  <c r="K141" i="2"/>
  <c r="K51" i="2"/>
  <c r="K35" i="2"/>
  <c r="K90" i="2"/>
  <c r="K110" i="2"/>
  <c r="K80" i="2"/>
  <c r="K100" i="2"/>
  <c r="K101" i="2"/>
  <c r="K33" i="2"/>
  <c r="K97" i="2"/>
  <c r="K113" i="2"/>
  <c r="K77" i="2"/>
  <c r="K56" i="2"/>
  <c r="K114" i="2"/>
  <c r="K27" i="2"/>
  <c r="K142" i="2"/>
  <c r="K126" i="2"/>
  <c r="K92" i="2"/>
  <c r="K29" i="2"/>
  <c r="K81" i="2"/>
  <c r="K65" i="2"/>
  <c r="K49" i="2"/>
  <c r="K93" i="2"/>
  <c r="K76" i="2"/>
  <c r="K144" i="2"/>
  <c r="K127" i="2"/>
  <c r="K143" i="2"/>
  <c r="K47" i="2"/>
  <c r="K70" i="2"/>
  <c r="K43" i="2"/>
  <c r="K140" i="2"/>
  <c r="K124" i="2"/>
  <c r="K136" i="2"/>
  <c r="K111" i="2"/>
  <c r="K95" i="2"/>
  <c r="K79" i="2"/>
  <c r="K108" i="2"/>
  <c r="K45" i="2"/>
  <c r="K87" i="2"/>
  <c r="K120" i="2"/>
  <c r="K58" i="2"/>
  <c r="K99" i="2"/>
  <c r="K57" i="2"/>
  <c r="K46" i="2"/>
  <c r="K62" i="2"/>
  <c r="K84" i="2"/>
  <c r="K40" i="2"/>
  <c r="K137" i="2"/>
  <c r="K121" i="2"/>
  <c r="K103" i="2"/>
  <c r="K133" i="2"/>
  <c r="K107" i="2"/>
  <c r="K30" i="2"/>
  <c r="K72" i="2"/>
  <c r="K105" i="2"/>
  <c r="K138" i="2"/>
  <c r="K52" i="2"/>
  <c r="K118" i="2"/>
  <c r="K44" i="2"/>
  <c r="K91" i="2"/>
  <c r="K98" i="2"/>
  <c r="K54" i="2"/>
  <c r="K135" i="2"/>
  <c r="K119" i="2"/>
  <c r="K117" i="2"/>
  <c r="K134" i="2"/>
  <c r="K73" i="2"/>
  <c r="K132" i="2"/>
  <c r="K41" i="2"/>
  <c r="K60" i="2"/>
  <c r="K88" i="2"/>
  <c r="K112" i="2"/>
  <c r="K68" i="2"/>
  <c r="K106" i="2"/>
  <c r="K28" i="2"/>
  <c r="K115" i="2"/>
  <c r="K122" i="2"/>
  <c r="K128" i="2"/>
  <c r="K63" i="2"/>
  <c r="K146" i="2"/>
  <c r="K39" i="2"/>
  <c r="K55" i="2"/>
  <c r="K102" i="2"/>
  <c r="K125" i="2"/>
  <c r="K82" i="2"/>
  <c r="K36" i="2"/>
  <c r="K74" i="2"/>
  <c r="K145" i="2"/>
  <c r="M145" i="2" l="1"/>
  <c r="M74" i="2"/>
  <c r="M36" i="2"/>
  <c r="M82" i="2"/>
  <c r="M125" i="2"/>
  <c r="M102" i="2"/>
  <c r="M55" i="2"/>
  <c r="M39" i="2"/>
  <c r="M146" i="2"/>
  <c r="M63" i="2"/>
  <c r="M128" i="2"/>
  <c r="M122" i="2"/>
  <c r="M115" i="2"/>
  <c r="M28" i="2"/>
  <c r="M106" i="2"/>
  <c r="M68" i="2"/>
  <c r="M112" i="2"/>
  <c r="M88" i="2"/>
  <c r="M60" i="2"/>
  <c r="M41" i="2"/>
  <c r="M132" i="2"/>
  <c r="M73" i="2"/>
  <c r="M134" i="2"/>
  <c r="M117" i="2"/>
  <c r="M119" i="2"/>
  <c r="M135" i="2"/>
  <c r="M54" i="2"/>
  <c r="M98" i="2"/>
  <c r="M91" i="2"/>
  <c r="M44" i="2"/>
  <c r="M118" i="2"/>
  <c r="M52" i="2"/>
  <c r="M138" i="2"/>
  <c r="M105" i="2"/>
  <c r="M72" i="2"/>
  <c r="M30" i="2"/>
  <c r="M107" i="2"/>
  <c r="M133" i="2"/>
  <c r="M103" i="2"/>
  <c r="M121" i="2"/>
  <c r="M137" i="2"/>
  <c r="M40" i="2"/>
  <c r="M84" i="2"/>
  <c r="M62" i="2"/>
  <c r="M46" i="2"/>
  <c r="M57" i="2"/>
  <c r="M99" i="2"/>
  <c r="M58" i="2"/>
  <c r="M120" i="2"/>
  <c r="M87" i="2"/>
  <c r="M45" i="2"/>
  <c r="M108" i="2"/>
  <c r="M79" i="2"/>
  <c r="M95" i="2"/>
  <c r="M111" i="2"/>
  <c r="M136" i="2"/>
  <c r="M124" i="2"/>
  <c r="M140" i="2"/>
  <c r="M43" i="2"/>
  <c r="M70" i="2"/>
  <c r="M47" i="2"/>
  <c r="M143" i="2"/>
  <c r="M127" i="2"/>
  <c r="M144" i="2"/>
  <c r="M76" i="2"/>
  <c r="M93" i="2"/>
  <c r="M49" i="2"/>
  <c r="M65" i="2"/>
  <c r="M81" i="2"/>
  <c r="M29" i="2"/>
  <c r="M92" i="2"/>
  <c r="M126" i="2"/>
  <c r="M142" i="2"/>
  <c r="M27" i="2"/>
  <c r="M114" i="2"/>
  <c r="M56" i="2"/>
  <c r="M77" i="2"/>
  <c r="M113" i="2"/>
  <c r="M97" i="2"/>
  <c r="M33" i="2"/>
  <c r="M101" i="2"/>
  <c r="M100" i="2"/>
  <c r="M80" i="2"/>
  <c r="M110" i="2"/>
  <c r="M90" i="2"/>
  <c r="M35" i="2"/>
  <c r="M51" i="2"/>
  <c r="M141" i="2"/>
  <c r="M139" i="2"/>
  <c r="M94" i="2"/>
  <c r="M131" i="2"/>
  <c r="M48" i="2"/>
  <c r="M64" i="2"/>
  <c r="M26" i="2"/>
  <c r="M86" i="2"/>
  <c r="M59" i="2"/>
  <c r="M130" i="2"/>
  <c r="M83" i="2"/>
  <c r="M67" i="2"/>
  <c r="M71" i="2"/>
  <c r="M78" i="2"/>
  <c r="M38" i="2"/>
  <c r="M123" i="2"/>
  <c r="M66" i="2"/>
  <c r="M32" i="2"/>
  <c r="M42" i="2"/>
  <c r="M37" i="2"/>
  <c r="M53" i="2"/>
  <c r="M31" i="2"/>
  <c r="M61" i="2"/>
  <c r="M89" i="2"/>
  <c r="M109" i="2"/>
  <c r="M34" i="2"/>
  <c r="M50" i="2"/>
  <c r="M96" i="2"/>
  <c r="M75" i="2"/>
  <c r="M116" i="2"/>
  <c r="M85" i="2"/>
  <c r="M69" i="2"/>
  <c r="M129" i="2"/>
  <c r="M104" i="2"/>
  <c r="J11" i="3"/>
  <c r="J17" i="3"/>
  <c r="J18" i="3" l="1"/>
  <c r="J10" i="3"/>
</calcChain>
</file>

<file path=xl/sharedStrings.xml><?xml version="1.0" encoding="utf-8"?>
<sst xmlns="http://schemas.openxmlformats.org/spreadsheetml/2006/main" count="158" uniqueCount="86">
  <si>
    <t>Method</t>
    <phoneticPr fontId="1" type="noConversion"/>
  </si>
  <si>
    <t>BSM</t>
    <phoneticPr fontId="1" type="noConversion"/>
  </si>
  <si>
    <t>MC</t>
    <phoneticPr fontId="1" type="noConversion"/>
  </si>
  <si>
    <t>FDM</t>
    <phoneticPr fontId="1" type="noConversion"/>
  </si>
  <si>
    <t>Product</t>
    <phoneticPr fontId="1" type="noConversion"/>
  </si>
  <si>
    <t>Vanilla</t>
    <phoneticPr fontId="1" type="noConversion"/>
  </si>
  <si>
    <t>Digital</t>
    <phoneticPr fontId="1" type="noConversion"/>
  </si>
  <si>
    <t>Types</t>
    <phoneticPr fontId="1" type="noConversion"/>
  </si>
  <si>
    <t>Call</t>
    <phoneticPr fontId="1" type="noConversion"/>
  </si>
  <si>
    <t>Put</t>
    <phoneticPr fontId="1" type="noConversion"/>
  </si>
  <si>
    <t>Data Info</t>
    <phoneticPr fontId="1" type="noConversion"/>
  </si>
  <si>
    <t>Option Info</t>
    <phoneticPr fontId="1" type="noConversion"/>
  </si>
  <si>
    <t>Spot</t>
    <phoneticPr fontId="1" type="noConversion"/>
  </si>
  <si>
    <t>Strike</t>
    <phoneticPr fontId="1" type="noConversion"/>
  </si>
  <si>
    <t>flat rfr</t>
    <phoneticPr fontId="1" type="noConversion"/>
  </si>
  <si>
    <t>flat div</t>
    <phoneticPr fontId="1" type="noConversion"/>
  </si>
  <si>
    <t>flat volatility</t>
    <phoneticPr fontId="1" type="noConversion"/>
  </si>
  <si>
    <t>Price</t>
    <phoneticPr fontId="1" type="noConversion"/>
  </si>
  <si>
    <t>Vanilla</t>
    <phoneticPr fontId="1" type="noConversion"/>
  </si>
  <si>
    <t>Put</t>
    <phoneticPr fontId="1" type="noConversion"/>
  </si>
  <si>
    <t>Digital</t>
    <phoneticPr fontId="1" type="noConversion"/>
  </si>
  <si>
    <t>Call</t>
    <phoneticPr fontId="1" type="noConversion"/>
  </si>
  <si>
    <t>Put</t>
    <phoneticPr fontId="1" type="noConversion"/>
  </si>
  <si>
    <t>Delta</t>
    <phoneticPr fontId="1" type="noConversion"/>
  </si>
  <si>
    <t>Vega</t>
    <phoneticPr fontId="1" type="noConversion"/>
  </si>
  <si>
    <t>delta</t>
    <phoneticPr fontId="1" type="noConversion"/>
  </si>
  <si>
    <t>gamma</t>
    <phoneticPr fontId="1" type="noConversion"/>
  </si>
  <si>
    <t>Spot Level</t>
    <phoneticPr fontId="1" type="noConversion"/>
  </si>
  <si>
    <t>Strike</t>
    <phoneticPr fontId="1" type="noConversion"/>
  </si>
  <si>
    <t>delta exposure</t>
    <phoneticPr fontId="1" type="noConversion"/>
  </si>
  <si>
    <t>gamma exposure</t>
    <phoneticPr fontId="1" type="noConversion"/>
  </si>
  <si>
    <t>Call Spread</t>
    <phoneticPr fontId="1" type="noConversion"/>
  </si>
  <si>
    <t>Strike1</t>
    <phoneticPr fontId="1" type="noConversion"/>
  </si>
  <si>
    <t>Price</t>
    <phoneticPr fontId="1" type="noConversion"/>
  </si>
  <si>
    <t>Delta</t>
    <phoneticPr fontId="1" type="noConversion"/>
  </si>
  <si>
    <t>Gamma</t>
    <phoneticPr fontId="1" type="noConversion"/>
  </si>
  <si>
    <t>Price</t>
    <phoneticPr fontId="1" type="noConversion"/>
  </si>
  <si>
    <t>Delta</t>
    <phoneticPr fontId="1" type="noConversion"/>
  </si>
  <si>
    <t>Vega</t>
    <phoneticPr fontId="1" type="noConversion"/>
  </si>
  <si>
    <t>Tau</t>
    <phoneticPr fontId="1" type="noConversion"/>
  </si>
  <si>
    <t>Digital</t>
    <phoneticPr fontId="1" type="noConversion"/>
  </si>
  <si>
    <t>Call</t>
    <phoneticPr fontId="1" type="noConversion"/>
  </si>
  <si>
    <t>MC</t>
    <phoneticPr fontId="1" type="noConversion"/>
  </si>
  <si>
    <t>Market Price</t>
    <phoneticPr fontId="1" type="noConversion"/>
  </si>
  <si>
    <t>Vanilla Call</t>
    <phoneticPr fontId="1" type="noConversion"/>
  </si>
  <si>
    <t>Implied Volatility</t>
    <phoneticPr fontId="1" type="noConversion"/>
  </si>
  <si>
    <t>Digital</t>
    <phoneticPr fontId="1" type="noConversion"/>
  </si>
  <si>
    <t>MC Simulation</t>
    <phoneticPr fontId="1" type="noConversion"/>
  </si>
  <si>
    <t>FDM path grid</t>
    <phoneticPr fontId="1" type="noConversion"/>
  </si>
  <si>
    <t>FDM time grid</t>
    <phoneticPr fontId="1" type="noConversion"/>
  </si>
  <si>
    <t>Calc Info</t>
    <phoneticPr fontId="1" type="noConversion"/>
  </si>
  <si>
    <t>Theta ( tau - 0.0001)</t>
    <phoneticPr fontId="1" type="noConversion"/>
  </si>
  <si>
    <t>Rho ( rf +- 1bp)</t>
    <phoneticPr fontId="1" type="noConversion"/>
  </si>
  <si>
    <t>Vega (vol +- 1%)</t>
    <phoneticPr fontId="1" type="noConversion"/>
  </si>
  <si>
    <t>Gamma (spot +- 1%)</t>
    <phoneticPr fontId="1" type="noConversion"/>
  </si>
  <si>
    <t>Delta (spot +- 1%)</t>
    <phoneticPr fontId="1" type="noConversion"/>
  </si>
  <si>
    <t xml:space="preserve">Vol diff = </t>
    <phoneticPr fontId="1" type="noConversion"/>
  </si>
  <si>
    <t>Vega</t>
    <phoneticPr fontId="1" type="noConversion"/>
  </si>
  <si>
    <t>Rho</t>
    <phoneticPr fontId="1" type="noConversion"/>
  </si>
  <si>
    <t>Theta</t>
    <phoneticPr fontId="1" type="noConversion"/>
  </si>
  <si>
    <t>Greeks Exposure ($)</t>
    <phoneticPr fontId="1" type="noConversion"/>
  </si>
  <si>
    <t>ATM</t>
    <phoneticPr fontId="1" type="noConversion"/>
  </si>
  <si>
    <t>Tau</t>
    <phoneticPr fontId="1" type="noConversion"/>
  </si>
  <si>
    <t>Vol Shock</t>
    <phoneticPr fontId="1" type="noConversion"/>
  </si>
  <si>
    <t>Spot Shock</t>
    <phoneticPr fontId="1" type="noConversion"/>
  </si>
  <si>
    <t>Digital Call Option + MC</t>
    <phoneticPr fontId="1" type="noConversion"/>
  </si>
  <si>
    <t>Vanilla Call Option + MC</t>
    <phoneticPr fontId="1" type="noConversion"/>
  </si>
  <si>
    <t>Strike2</t>
    <phoneticPr fontId="1" type="noConversion"/>
  </si>
  <si>
    <t xml:space="preserve">Digital Option's Delta Hedging offset
: </t>
    <phoneticPr fontId="1" type="noConversion"/>
  </si>
  <si>
    <t>1. when tau is extremely shortened, the delta exploded in digital option</t>
    <phoneticPr fontId="1" type="noConversion"/>
  </si>
  <si>
    <t>2. it can be adjusted by two call options with dK(strike+-cash/2)</t>
    <phoneticPr fontId="1" type="noConversion"/>
  </si>
  <si>
    <t>Hedging error : dK (strike+-) ↑</t>
    <phoneticPr fontId="1" type="noConversion"/>
  </si>
  <si>
    <t>Hedging Delta (Futures) Risk : dK (strike+-) ↓</t>
    <phoneticPr fontId="1" type="noConversion"/>
  </si>
  <si>
    <t>▶</t>
    <phoneticPr fontId="1" type="noConversion"/>
  </si>
  <si>
    <t>Implied Volatility (Newton Rapshon)</t>
    <phoneticPr fontId="1" type="noConversion"/>
  </si>
  <si>
    <t>mt19937 seed = 1</t>
    <phoneticPr fontId="1" type="noConversion"/>
  </si>
  <si>
    <t>Thomas Algorithm</t>
    <phoneticPr fontId="1" type="noConversion"/>
  </si>
  <si>
    <t>DELTA $</t>
    <phoneticPr fontId="1" type="noConversion"/>
  </si>
  <si>
    <t>GAMMA $</t>
    <phoneticPr fontId="1" type="noConversion"/>
  </si>
  <si>
    <t>DELTA $</t>
    <phoneticPr fontId="1" type="noConversion"/>
  </si>
  <si>
    <t>GAMMA $</t>
    <phoneticPr fontId="1" type="noConversion"/>
  </si>
  <si>
    <t>Tau</t>
    <phoneticPr fontId="1" type="noConversion"/>
  </si>
  <si>
    <t>Volatility</t>
    <phoneticPr fontId="1" type="noConversion"/>
  </si>
  <si>
    <t>Calculation Results</t>
    <phoneticPr fontId="1" type="noConversion"/>
  </si>
  <si>
    <t>Greeks Results</t>
    <phoneticPr fontId="1" type="noConversion"/>
  </si>
  <si>
    <t>DLL : 64bit Excel + x64 VS2019, c++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</si>
</sst>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76" formatCode="0.0%"/>
    <numFmt numFmtId="177" formatCode="0.00000"/>
    <numFmt numFmtId="178" formatCode="0.0000"/>
    <numFmt numFmtId="179" formatCode="0.000"/>
    <numFmt numFmtId="180" formatCode="_-* #,##0.00_-;\-* #,##0.00_-;_-* &quot;-&quot;_-;_-@_-"/>
    <numFmt numFmtId="181" formatCode="0.00000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0" xfId="0" applyFill="1">
      <alignment vertical="center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2" fontId="0" fillId="0" borderId="0" xfId="0" applyNumberFormat="1" applyBorder="1">
      <alignment vertical="center"/>
    </xf>
    <xf numFmtId="2" fontId="0" fillId="0" borderId="0" xfId="0" applyNumberFormat="1" applyFont="1" applyBorder="1">
      <alignment vertical="center"/>
    </xf>
    <xf numFmtId="2" fontId="0" fillId="0" borderId="5" xfId="0" applyNumberFormat="1" applyBorder="1">
      <alignment vertical="center"/>
    </xf>
    <xf numFmtId="10" fontId="3" fillId="0" borderId="0" xfId="2" applyNumberFormat="1" applyFont="1" applyBorder="1">
      <alignment vertical="center"/>
    </xf>
    <xf numFmtId="10" fontId="3" fillId="0" borderId="5" xfId="2" applyNumberFormat="1" applyFont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2" fontId="0" fillId="0" borderId="7" xfId="0" applyNumberFormat="1" applyBorder="1">
      <alignment vertical="center"/>
    </xf>
    <xf numFmtId="10" fontId="3" fillId="0" borderId="7" xfId="2" applyNumberFormat="1" applyFont="1" applyBorder="1">
      <alignment vertical="center"/>
    </xf>
    <xf numFmtId="10" fontId="3" fillId="0" borderId="8" xfId="2" applyNumberFormat="1" applyFont="1" applyBorder="1">
      <alignment vertical="center"/>
    </xf>
    <xf numFmtId="0" fontId="0" fillId="0" borderId="0" xfId="0" applyFill="1">
      <alignment vertical="center"/>
    </xf>
    <xf numFmtId="41" fontId="0" fillId="0" borderId="0" xfId="1" applyFont="1">
      <alignment vertical="center"/>
    </xf>
    <xf numFmtId="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2" fontId="0" fillId="3" borderId="0" xfId="0" applyNumberFormat="1" applyFill="1">
      <alignment vertical="center"/>
    </xf>
    <xf numFmtId="41" fontId="0" fillId="3" borderId="0" xfId="1" applyFont="1" applyFill="1">
      <alignment vertical="center"/>
    </xf>
    <xf numFmtId="180" fontId="0" fillId="3" borderId="0" xfId="1" applyNumberFormat="1" applyFont="1" applyFill="1">
      <alignment vertical="center"/>
    </xf>
    <xf numFmtId="0" fontId="4" fillId="0" borderId="0" xfId="0" applyFont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>
      <alignment vertical="center"/>
    </xf>
    <xf numFmtId="0" fontId="0" fillId="0" borderId="4" xfId="0" quotePrefix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center" vertical="center"/>
    </xf>
    <xf numFmtId="178" fontId="0" fillId="0" borderId="0" xfId="0" applyNumberFormat="1" applyBorder="1">
      <alignment vertical="center"/>
    </xf>
    <xf numFmtId="178" fontId="0" fillId="0" borderId="5" xfId="0" applyNumberFormat="1" applyBorder="1">
      <alignment vertical="center"/>
    </xf>
    <xf numFmtId="178" fontId="0" fillId="0" borderId="7" xfId="0" applyNumberFormat="1" applyBorder="1">
      <alignment vertical="center"/>
    </xf>
    <xf numFmtId="0" fontId="0" fillId="3" borderId="5" xfId="0" applyFill="1" applyBorder="1">
      <alignment vertical="center"/>
    </xf>
    <xf numFmtId="179" fontId="0" fillId="0" borderId="5" xfId="0" applyNumberFormat="1" applyBorder="1">
      <alignment vertical="center"/>
    </xf>
    <xf numFmtId="0" fontId="0" fillId="0" borderId="7" xfId="0" applyBorder="1" applyAlignment="1">
      <alignment horizontal="right" vertical="center"/>
    </xf>
    <xf numFmtId="10" fontId="0" fillId="0" borderId="8" xfId="2" applyNumberFormat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81" fontId="0" fillId="0" borderId="0" xfId="0" applyNumberFormat="1" applyBorder="1">
      <alignment vertical="center"/>
    </xf>
    <xf numFmtId="181" fontId="0" fillId="0" borderId="5" xfId="0" applyNumberFormat="1" applyBorder="1">
      <alignment vertical="center"/>
    </xf>
    <xf numFmtId="181" fontId="0" fillId="0" borderId="7" xfId="0" applyNumberFormat="1" applyBorder="1">
      <alignment vertical="center"/>
    </xf>
    <xf numFmtId="181" fontId="0" fillId="0" borderId="8" xfId="0" applyNumberForma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When</a:t>
            </a:r>
            <a:r>
              <a:rPr lang="en-US" altLang="ko-KR" baseline="0"/>
              <a:t> Tau extremely smalls, Delta of Digtal vs Call Spread</a:t>
            </a:r>
          </a:p>
          <a:p>
            <a:pPr>
              <a:defRPr/>
            </a:pPr>
            <a:r>
              <a:rPr lang="en-US" altLang="ko-KR" baseline="0"/>
              <a:t>ATM = 430.00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Digital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DigitalHedging!$B$26:$B$146</c:f>
              <c:numCache>
                <c:formatCode>General</c:formatCode>
                <c:ptCount val="121"/>
                <c:pt idx="0">
                  <c:v>415</c:v>
                </c:pt>
                <c:pt idx="1">
                  <c:v>415.25</c:v>
                </c:pt>
                <c:pt idx="2">
                  <c:v>415.5</c:v>
                </c:pt>
                <c:pt idx="3">
                  <c:v>415.75</c:v>
                </c:pt>
                <c:pt idx="4">
                  <c:v>416</c:v>
                </c:pt>
                <c:pt idx="5">
                  <c:v>416.25</c:v>
                </c:pt>
                <c:pt idx="6">
                  <c:v>416.5</c:v>
                </c:pt>
                <c:pt idx="7">
                  <c:v>416.75</c:v>
                </c:pt>
                <c:pt idx="8">
                  <c:v>417</c:v>
                </c:pt>
                <c:pt idx="9">
                  <c:v>417.25</c:v>
                </c:pt>
                <c:pt idx="10">
                  <c:v>417.5</c:v>
                </c:pt>
                <c:pt idx="11">
                  <c:v>417.75</c:v>
                </c:pt>
                <c:pt idx="12">
                  <c:v>418</c:v>
                </c:pt>
                <c:pt idx="13">
                  <c:v>418.25</c:v>
                </c:pt>
                <c:pt idx="14">
                  <c:v>418.5</c:v>
                </c:pt>
                <c:pt idx="15">
                  <c:v>418.75</c:v>
                </c:pt>
                <c:pt idx="16">
                  <c:v>419</c:v>
                </c:pt>
                <c:pt idx="17">
                  <c:v>419.25</c:v>
                </c:pt>
                <c:pt idx="18">
                  <c:v>419.5</c:v>
                </c:pt>
                <c:pt idx="19">
                  <c:v>419.75</c:v>
                </c:pt>
                <c:pt idx="20">
                  <c:v>420</c:v>
                </c:pt>
                <c:pt idx="21">
                  <c:v>420.25</c:v>
                </c:pt>
                <c:pt idx="22">
                  <c:v>420.5</c:v>
                </c:pt>
                <c:pt idx="23">
                  <c:v>420.75</c:v>
                </c:pt>
                <c:pt idx="24">
                  <c:v>421</c:v>
                </c:pt>
                <c:pt idx="25">
                  <c:v>421.25</c:v>
                </c:pt>
                <c:pt idx="26">
                  <c:v>421.5</c:v>
                </c:pt>
                <c:pt idx="27">
                  <c:v>421.75</c:v>
                </c:pt>
                <c:pt idx="28">
                  <c:v>422</c:v>
                </c:pt>
                <c:pt idx="29">
                  <c:v>422.25</c:v>
                </c:pt>
                <c:pt idx="30">
                  <c:v>422.5</c:v>
                </c:pt>
                <c:pt idx="31">
                  <c:v>422.75</c:v>
                </c:pt>
                <c:pt idx="32">
                  <c:v>423</c:v>
                </c:pt>
                <c:pt idx="33">
                  <c:v>423.25</c:v>
                </c:pt>
                <c:pt idx="34">
                  <c:v>423.5</c:v>
                </c:pt>
                <c:pt idx="35">
                  <c:v>423.75</c:v>
                </c:pt>
                <c:pt idx="36">
                  <c:v>424</c:v>
                </c:pt>
                <c:pt idx="37">
                  <c:v>424.25</c:v>
                </c:pt>
                <c:pt idx="38">
                  <c:v>424.5</c:v>
                </c:pt>
                <c:pt idx="39">
                  <c:v>424.75</c:v>
                </c:pt>
                <c:pt idx="40">
                  <c:v>425</c:v>
                </c:pt>
                <c:pt idx="41">
                  <c:v>425.25</c:v>
                </c:pt>
                <c:pt idx="42">
                  <c:v>425.5</c:v>
                </c:pt>
                <c:pt idx="43">
                  <c:v>425.75</c:v>
                </c:pt>
                <c:pt idx="44">
                  <c:v>426</c:v>
                </c:pt>
                <c:pt idx="45">
                  <c:v>426.25</c:v>
                </c:pt>
                <c:pt idx="46">
                  <c:v>426.5</c:v>
                </c:pt>
                <c:pt idx="47">
                  <c:v>426.75</c:v>
                </c:pt>
                <c:pt idx="48">
                  <c:v>427</c:v>
                </c:pt>
                <c:pt idx="49">
                  <c:v>427.25</c:v>
                </c:pt>
                <c:pt idx="50">
                  <c:v>427.5</c:v>
                </c:pt>
                <c:pt idx="51">
                  <c:v>427.75</c:v>
                </c:pt>
                <c:pt idx="52">
                  <c:v>428</c:v>
                </c:pt>
                <c:pt idx="53">
                  <c:v>428.25</c:v>
                </c:pt>
                <c:pt idx="54">
                  <c:v>428.5</c:v>
                </c:pt>
                <c:pt idx="55">
                  <c:v>428.75</c:v>
                </c:pt>
                <c:pt idx="56">
                  <c:v>429</c:v>
                </c:pt>
                <c:pt idx="57">
                  <c:v>429.25</c:v>
                </c:pt>
                <c:pt idx="58">
                  <c:v>429.5</c:v>
                </c:pt>
                <c:pt idx="59">
                  <c:v>429.75</c:v>
                </c:pt>
                <c:pt idx="60">
                  <c:v>430</c:v>
                </c:pt>
                <c:pt idx="61">
                  <c:v>430.25</c:v>
                </c:pt>
                <c:pt idx="62">
                  <c:v>430.5</c:v>
                </c:pt>
                <c:pt idx="63">
                  <c:v>430.75</c:v>
                </c:pt>
                <c:pt idx="64">
                  <c:v>431</c:v>
                </c:pt>
                <c:pt idx="65">
                  <c:v>431.25</c:v>
                </c:pt>
                <c:pt idx="66">
                  <c:v>431.5</c:v>
                </c:pt>
                <c:pt idx="67">
                  <c:v>431.75</c:v>
                </c:pt>
                <c:pt idx="68">
                  <c:v>432</c:v>
                </c:pt>
                <c:pt idx="69">
                  <c:v>432.25</c:v>
                </c:pt>
                <c:pt idx="70">
                  <c:v>432.5</c:v>
                </c:pt>
                <c:pt idx="71">
                  <c:v>432.75</c:v>
                </c:pt>
                <c:pt idx="72">
                  <c:v>433</c:v>
                </c:pt>
                <c:pt idx="73">
                  <c:v>433.25</c:v>
                </c:pt>
                <c:pt idx="74">
                  <c:v>433.5</c:v>
                </c:pt>
                <c:pt idx="75">
                  <c:v>433.75</c:v>
                </c:pt>
                <c:pt idx="76">
                  <c:v>434</c:v>
                </c:pt>
                <c:pt idx="77">
                  <c:v>434.25</c:v>
                </c:pt>
                <c:pt idx="78">
                  <c:v>434.5</c:v>
                </c:pt>
                <c:pt idx="79">
                  <c:v>434.75</c:v>
                </c:pt>
                <c:pt idx="80">
                  <c:v>435</c:v>
                </c:pt>
                <c:pt idx="81">
                  <c:v>435.25</c:v>
                </c:pt>
                <c:pt idx="82">
                  <c:v>435.5</c:v>
                </c:pt>
                <c:pt idx="83">
                  <c:v>435.75</c:v>
                </c:pt>
                <c:pt idx="84">
                  <c:v>436</c:v>
                </c:pt>
                <c:pt idx="85">
                  <c:v>436.25</c:v>
                </c:pt>
                <c:pt idx="86">
                  <c:v>436.5</c:v>
                </c:pt>
                <c:pt idx="87">
                  <c:v>436.75</c:v>
                </c:pt>
                <c:pt idx="88">
                  <c:v>437</c:v>
                </c:pt>
                <c:pt idx="89">
                  <c:v>437.25</c:v>
                </c:pt>
                <c:pt idx="90">
                  <c:v>437.5</c:v>
                </c:pt>
                <c:pt idx="91">
                  <c:v>437.75</c:v>
                </c:pt>
                <c:pt idx="92">
                  <c:v>438</c:v>
                </c:pt>
                <c:pt idx="93">
                  <c:v>438.25</c:v>
                </c:pt>
                <c:pt idx="94">
                  <c:v>438.5</c:v>
                </c:pt>
                <c:pt idx="95">
                  <c:v>438.75</c:v>
                </c:pt>
                <c:pt idx="96">
                  <c:v>439</c:v>
                </c:pt>
                <c:pt idx="97">
                  <c:v>439.25</c:v>
                </c:pt>
                <c:pt idx="98">
                  <c:v>439.5</c:v>
                </c:pt>
                <c:pt idx="99">
                  <c:v>439.75</c:v>
                </c:pt>
                <c:pt idx="100">
                  <c:v>440</c:v>
                </c:pt>
                <c:pt idx="101">
                  <c:v>440.25</c:v>
                </c:pt>
                <c:pt idx="102">
                  <c:v>440.5</c:v>
                </c:pt>
                <c:pt idx="103">
                  <c:v>440.75</c:v>
                </c:pt>
                <c:pt idx="104">
                  <c:v>441</c:v>
                </c:pt>
                <c:pt idx="105">
                  <c:v>441.25</c:v>
                </c:pt>
                <c:pt idx="106">
                  <c:v>441.5</c:v>
                </c:pt>
                <c:pt idx="107">
                  <c:v>441.75</c:v>
                </c:pt>
                <c:pt idx="108">
                  <c:v>442</c:v>
                </c:pt>
                <c:pt idx="109">
                  <c:v>442.25</c:v>
                </c:pt>
                <c:pt idx="110">
                  <c:v>442.5</c:v>
                </c:pt>
                <c:pt idx="111">
                  <c:v>442.75</c:v>
                </c:pt>
                <c:pt idx="112">
                  <c:v>443</c:v>
                </c:pt>
                <c:pt idx="113">
                  <c:v>443.25</c:v>
                </c:pt>
                <c:pt idx="114">
                  <c:v>443.5</c:v>
                </c:pt>
                <c:pt idx="115">
                  <c:v>443.75</c:v>
                </c:pt>
                <c:pt idx="116">
                  <c:v>444</c:v>
                </c:pt>
                <c:pt idx="117">
                  <c:v>444.25</c:v>
                </c:pt>
                <c:pt idx="118">
                  <c:v>444.5</c:v>
                </c:pt>
                <c:pt idx="119">
                  <c:v>444.75</c:v>
                </c:pt>
                <c:pt idx="120">
                  <c:v>445</c:v>
                </c:pt>
              </c:numCache>
            </c:numRef>
          </c:cat>
          <c:val>
            <c:numRef>
              <c:f>DigitalHedging!$E$26:$E$146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4.9999925000056254E-3</c:v>
                </c:pt>
                <c:pt idx="31">
                  <c:v>1.7499973750019687E-2</c:v>
                </c:pt>
                <c:pt idx="32">
                  <c:v>5.7499913750064698E-2</c:v>
                </c:pt>
                <c:pt idx="33">
                  <c:v>0.12999980500014638</c:v>
                </c:pt>
                <c:pt idx="34">
                  <c:v>0.33249950125037431</c:v>
                </c:pt>
                <c:pt idx="35">
                  <c:v>0.73249890125082173</c:v>
                </c:pt>
                <c:pt idx="36">
                  <c:v>1.3849979225015601</c:v>
                </c:pt>
                <c:pt idx="37">
                  <c:v>2.5024962462527713</c:v>
                </c:pt>
                <c:pt idx="38">
                  <c:v>4.3074935387547271</c:v>
                </c:pt>
                <c:pt idx="39">
                  <c:v>6.8649897025078959</c:v>
                </c:pt>
                <c:pt idx="40">
                  <c:v>10.247484628762331</c:v>
                </c:pt>
                <c:pt idx="41">
                  <c:v>14.637478043768086</c:v>
                </c:pt>
                <c:pt idx="42">
                  <c:v>19.624970562524627</c:v>
                </c:pt>
                <c:pt idx="43">
                  <c:v>25.197462203781932</c:v>
                </c:pt>
                <c:pt idx="44">
                  <c:v>30.684953972539134</c:v>
                </c:pt>
                <c:pt idx="45">
                  <c:v>35.622446566295601</c:v>
                </c:pt>
                <c:pt idx="46">
                  <c:v>39.932440101301253</c:v>
                </c:pt>
                <c:pt idx="47">
                  <c:v>43.262435106301439</c:v>
                </c:pt>
                <c:pt idx="48">
                  <c:v>45.809931285050133</c:v>
                </c:pt>
                <c:pt idx="49">
                  <c:v>47.52742870879927</c:v>
                </c:pt>
                <c:pt idx="50">
                  <c:v>48.637427043798702</c:v>
                </c:pt>
                <c:pt idx="51">
                  <c:v>49.28492607254838</c:v>
                </c:pt>
                <c:pt idx="52">
                  <c:v>49.667425498798181</c:v>
                </c:pt>
                <c:pt idx="53">
                  <c:v>49.869925195048083</c:v>
                </c:pt>
                <c:pt idx="54">
                  <c:v>49.942425086298044</c:v>
                </c:pt>
                <c:pt idx="55">
                  <c:v>49.982425026298017</c:v>
                </c:pt>
                <c:pt idx="56">
                  <c:v>49.994925007548019</c:v>
                </c:pt>
                <c:pt idx="57">
                  <c:v>49.999925000048016</c:v>
                </c:pt>
                <c:pt idx="58">
                  <c:v>49.999925000048016</c:v>
                </c:pt>
                <c:pt idx="59">
                  <c:v>49.999925000048016</c:v>
                </c:pt>
                <c:pt idx="60">
                  <c:v>49.999925000048016</c:v>
                </c:pt>
                <c:pt idx="61">
                  <c:v>49.999925000048016</c:v>
                </c:pt>
                <c:pt idx="62">
                  <c:v>49.999925000048023</c:v>
                </c:pt>
                <c:pt idx="63">
                  <c:v>49.999925000048016</c:v>
                </c:pt>
                <c:pt idx="64">
                  <c:v>49.994925007548005</c:v>
                </c:pt>
                <c:pt idx="65">
                  <c:v>49.984925022547998</c:v>
                </c:pt>
                <c:pt idx="66">
                  <c:v>49.952425071297959</c:v>
                </c:pt>
                <c:pt idx="67">
                  <c:v>49.892425161297901</c:v>
                </c:pt>
                <c:pt idx="68">
                  <c:v>49.712425431297689</c:v>
                </c:pt>
                <c:pt idx="69">
                  <c:v>49.387425918797334</c:v>
                </c:pt>
                <c:pt idx="70">
                  <c:v>48.829926755046692</c:v>
                </c:pt>
                <c:pt idx="71">
                  <c:v>47.882428176295669</c:v>
                </c:pt>
                <c:pt idx="72">
                  <c:v>46.279930580043924</c:v>
                </c:pt>
                <c:pt idx="73">
                  <c:v>44.112433831291398</c:v>
                </c:pt>
                <c:pt idx="74">
                  <c:v>40.967438548787285</c:v>
                </c:pt>
                <c:pt idx="75">
                  <c:v>36.959944560032021</c:v>
                </c:pt>
                <c:pt idx="76">
                  <c:v>32.359951460025997</c:v>
                </c:pt>
                <c:pt idx="77">
                  <c:v>27.139959290019149</c:v>
                </c:pt>
                <c:pt idx="78">
                  <c:v>21.417467873761648</c:v>
                </c:pt>
                <c:pt idx="79">
                  <c:v>16.402475396255074</c:v>
                </c:pt>
                <c:pt idx="80">
                  <c:v>11.947482078749227</c:v>
                </c:pt>
                <c:pt idx="81">
                  <c:v>8.2424876362458157</c:v>
                </c:pt>
                <c:pt idx="82">
                  <c:v>5.299992049997309</c:v>
                </c:pt>
                <c:pt idx="83">
                  <c:v>3.2774950837483385</c:v>
                </c:pt>
                <c:pt idx="84">
                  <c:v>1.8674971987490516</c:v>
                </c:pt>
                <c:pt idx="85">
                  <c:v>0.99499850749949492</c:v>
                </c:pt>
                <c:pt idx="86">
                  <c:v>0.51749922374974</c:v>
                </c:pt>
                <c:pt idx="87">
                  <c:v>0.2224996662498924</c:v>
                </c:pt>
                <c:pt idx="88">
                  <c:v>8.4999872499957885E-2</c:v>
                </c:pt>
                <c:pt idx="89">
                  <c:v>3.9999939999985079E-2</c:v>
                </c:pt>
                <c:pt idx="90">
                  <c:v>1.4999977499996485E-2</c:v>
                </c:pt>
                <c:pt idx="91">
                  <c:v>4.9999924999988288E-3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Call Spread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DigitalHedging!$B$26:$B$146</c:f>
              <c:numCache>
                <c:formatCode>General</c:formatCode>
                <c:ptCount val="121"/>
                <c:pt idx="0">
                  <c:v>415</c:v>
                </c:pt>
                <c:pt idx="1">
                  <c:v>415.25</c:v>
                </c:pt>
                <c:pt idx="2">
                  <c:v>415.5</c:v>
                </c:pt>
                <c:pt idx="3">
                  <c:v>415.75</c:v>
                </c:pt>
                <c:pt idx="4">
                  <c:v>416</c:v>
                </c:pt>
                <c:pt idx="5">
                  <c:v>416.25</c:v>
                </c:pt>
                <c:pt idx="6">
                  <c:v>416.5</c:v>
                </c:pt>
                <c:pt idx="7">
                  <c:v>416.75</c:v>
                </c:pt>
                <c:pt idx="8">
                  <c:v>417</c:v>
                </c:pt>
                <c:pt idx="9">
                  <c:v>417.25</c:v>
                </c:pt>
                <c:pt idx="10">
                  <c:v>417.5</c:v>
                </c:pt>
                <c:pt idx="11">
                  <c:v>417.75</c:v>
                </c:pt>
                <c:pt idx="12">
                  <c:v>418</c:v>
                </c:pt>
                <c:pt idx="13">
                  <c:v>418.25</c:v>
                </c:pt>
                <c:pt idx="14">
                  <c:v>418.5</c:v>
                </c:pt>
                <c:pt idx="15">
                  <c:v>418.75</c:v>
                </c:pt>
                <c:pt idx="16">
                  <c:v>419</c:v>
                </c:pt>
                <c:pt idx="17">
                  <c:v>419.25</c:v>
                </c:pt>
                <c:pt idx="18">
                  <c:v>419.5</c:v>
                </c:pt>
                <c:pt idx="19">
                  <c:v>419.75</c:v>
                </c:pt>
                <c:pt idx="20">
                  <c:v>420</c:v>
                </c:pt>
                <c:pt idx="21">
                  <c:v>420.25</c:v>
                </c:pt>
                <c:pt idx="22">
                  <c:v>420.5</c:v>
                </c:pt>
                <c:pt idx="23">
                  <c:v>420.75</c:v>
                </c:pt>
                <c:pt idx="24">
                  <c:v>421</c:v>
                </c:pt>
                <c:pt idx="25">
                  <c:v>421.25</c:v>
                </c:pt>
                <c:pt idx="26">
                  <c:v>421.5</c:v>
                </c:pt>
                <c:pt idx="27">
                  <c:v>421.75</c:v>
                </c:pt>
                <c:pt idx="28">
                  <c:v>422</c:v>
                </c:pt>
                <c:pt idx="29">
                  <c:v>422.25</c:v>
                </c:pt>
                <c:pt idx="30">
                  <c:v>422.5</c:v>
                </c:pt>
                <c:pt idx="31">
                  <c:v>422.75</c:v>
                </c:pt>
                <c:pt idx="32">
                  <c:v>423</c:v>
                </c:pt>
                <c:pt idx="33">
                  <c:v>423.25</c:v>
                </c:pt>
                <c:pt idx="34">
                  <c:v>423.5</c:v>
                </c:pt>
                <c:pt idx="35">
                  <c:v>423.75</c:v>
                </c:pt>
                <c:pt idx="36">
                  <c:v>424</c:v>
                </c:pt>
                <c:pt idx="37">
                  <c:v>424.25</c:v>
                </c:pt>
                <c:pt idx="38">
                  <c:v>424.5</c:v>
                </c:pt>
                <c:pt idx="39">
                  <c:v>424.75</c:v>
                </c:pt>
                <c:pt idx="40">
                  <c:v>425</c:v>
                </c:pt>
                <c:pt idx="41">
                  <c:v>425.25</c:v>
                </c:pt>
                <c:pt idx="42">
                  <c:v>425.5</c:v>
                </c:pt>
                <c:pt idx="43">
                  <c:v>425.75</c:v>
                </c:pt>
                <c:pt idx="44">
                  <c:v>426</c:v>
                </c:pt>
                <c:pt idx="45">
                  <c:v>426.25</c:v>
                </c:pt>
                <c:pt idx="46">
                  <c:v>426.5</c:v>
                </c:pt>
                <c:pt idx="47">
                  <c:v>426.75</c:v>
                </c:pt>
                <c:pt idx="48">
                  <c:v>427</c:v>
                </c:pt>
                <c:pt idx="49">
                  <c:v>427.25</c:v>
                </c:pt>
                <c:pt idx="50">
                  <c:v>427.5</c:v>
                </c:pt>
                <c:pt idx="51">
                  <c:v>427.75</c:v>
                </c:pt>
                <c:pt idx="52">
                  <c:v>428</c:v>
                </c:pt>
                <c:pt idx="53">
                  <c:v>428.25</c:v>
                </c:pt>
                <c:pt idx="54">
                  <c:v>428.5</c:v>
                </c:pt>
                <c:pt idx="55">
                  <c:v>428.75</c:v>
                </c:pt>
                <c:pt idx="56">
                  <c:v>429</c:v>
                </c:pt>
                <c:pt idx="57">
                  <c:v>429.25</c:v>
                </c:pt>
                <c:pt idx="58">
                  <c:v>429.5</c:v>
                </c:pt>
                <c:pt idx="59">
                  <c:v>429.75</c:v>
                </c:pt>
                <c:pt idx="60">
                  <c:v>430</c:v>
                </c:pt>
                <c:pt idx="61">
                  <c:v>430.25</c:v>
                </c:pt>
                <c:pt idx="62">
                  <c:v>430.5</c:v>
                </c:pt>
                <c:pt idx="63">
                  <c:v>430.75</c:v>
                </c:pt>
                <c:pt idx="64">
                  <c:v>431</c:v>
                </c:pt>
                <c:pt idx="65">
                  <c:v>431.25</c:v>
                </c:pt>
                <c:pt idx="66">
                  <c:v>431.5</c:v>
                </c:pt>
                <c:pt idx="67">
                  <c:v>431.75</c:v>
                </c:pt>
                <c:pt idx="68">
                  <c:v>432</c:v>
                </c:pt>
                <c:pt idx="69">
                  <c:v>432.25</c:v>
                </c:pt>
                <c:pt idx="70">
                  <c:v>432.5</c:v>
                </c:pt>
                <c:pt idx="71">
                  <c:v>432.75</c:v>
                </c:pt>
                <c:pt idx="72">
                  <c:v>433</c:v>
                </c:pt>
                <c:pt idx="73">
                  <c:v>433.25</c:v>
                </c:pt>
                <c:pt idx="74">
                  <c:v>433.5</c:v>
                </c:pt>
                <c:pt idx="75">
                  <c:v>433.75</c:v>
                </c:pt>
                <c:pt idx="76">
                  <c:v>434</c:v>
                </c:pt>
                <c:pt idx="77">
                  <c:v>434.25</c:v>
                </c:pt>
                <c:pt idx="78">
                  <c:v>434.5</c:v>
                </c:pt>
                <c:pt idx="79">
                  <c:v>434.75</c:v>
                </c:pt>
                <c:pt idx="80">
                  <c:v>435</c:v>
                </c:pt>
                <c:pt idx="81">
                  <c:v>435.25</c:v>
                </c:pt>
                <c:pt idx="82">
                  <c:v>435.5</c:v>
                </c:pt>
                <c:pt idx="83">
                  <c:v>435.75</c:v>
                </c:pt>
                <c:pt idx="84">
                  <c:v>436</c:v>
                </c:pt>
                <c:pt idx="85">
                  <c:v>436.25</c:v>
                </c:pt>
                <c:pt idx="86">
                  <c:v>436.5</c:v>
                </c:pt>
                <c:pt idx="87">
                  <c:v>436.75</c:v>
                </c:pt>
                <c:pt idx="88">
                  <c:v>437</c:v>
                </c:pt>
                <c:pt idx="89">
                  <c:v>437.25</c:v>
                </c:pt>
                <c:pt idx="90">
                  <c:v>437.5</c:v>
                </c:pt>
                <c:pt idx="91">
                  <c:v>437.75</c:v>
                </c:pt>
                <c:pt idx="92">
                  <c:v>438</c:v>
                </c:pt>
                <c:pt idx="93">
                  <c:v>438.25</c:v>
                </c:pt>
                <c:pt idx="94">
                  <c:v>438.5</c:v>
                </c:pt>
                <c:pt idx="95">
                  <c:v>438.75</c:v>
                </c:pt>
                <c:pt idx="96">
                  <c:v>439</c:v>
                </c:pt>
                <c:pt idx="97">
                  <c:v>439.25</c:v>
                </c:pt>
                <c:pt idx="98">
                  <c:v>439.5</c:v>
                </c:pt>
                <c:pt idx="99">
                  <c:v>439.75</c:v>
                </c:pt>
                <c:pt idx="100">
                  <c:v>440</c:v>
                </c:pt>
                <c:pt idx="101">
                  <c:v>440.25</c:v>
                </c:pt>
                <c:pt idx="102">
                  <c:v>440.5</c:v>
                </c:pt>
                <c:pt idx="103">
                  <c:v>440.75</c:v>
                </c:pt>
                <c:pt idx="104">
                  <c:v>441</c:v>
                </c:pt>
                <c:pt idx="105">
                  <c:v>441.25</c:v>
                </c:pt>
                <c:pt idx="106">
                  <c:v>441.5</c:v>
                </c:pt>
                <c:pt idx="107">
                  <c:v>441.75</c:v>
                </c:pt>
                <c:pt idx="108">
                  <c:v>442</c:v>
                </c:pt>
                <c:pt idx="109">
                  <c:v>442.25</c:v>
                </c:pt>
                <c:pt idx="110">
                  <c:v>442.5</c:v>
                </c:pt>
                <c:pt idx="111">
                  <c:v>442.75</c:v>
                </c:pt>
                <c:pt idx="112">
                  <c:v>443</c:v>
                </c:pt>
                <c:pt idx="113">
                  <c:v>443.25</c:v>
                </c:pt>
                <c:pt idx="114">
                  <c:v>443.5</c:v>
                </c:pt>
                <c:pt idx="115">
                  <c:v>443.75</c:v>
                </c:pt>
                <c:pt idx="116">
                  <c:v>444</c:v>
                </c:pt>
                <c:pt idx="117">
                  <c:v>444.25</c:v>
                </c:pt>
                <c:pt idx="118">
                  <c:v>444.5</c:v>
                </c:pt>
                <c:pt idx="119">
                  <c:v>444.75</c:v>
                </c:pt>
                <c:pt idx="120">
                  <c:v>445</c:v>
                </c:pt>
              </c:numCache>
            </c:numRef>
          </c:cat>
          <c:val>
            <c:numRef>
              <c:f>DigitalHedging!$L$26:$L$146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6.2066580876973766E-4</c:v>
                </c:pt>
                <c:pt idx="30">
                  <c:v>3.3476325905232749E-3</c:v>
                </c:pt>
                <c:pt idx="31">
                  <c:v>1.075237913998113E-2</c:v>
                </c:pt>
                <c:pt idx="32">
                  <c:v>2.8773918807772317E-2</c:v>
                </c:pt>
                <c:pt idx="33">
                  <c:v>7.5541284502759876E-2</c:v>
                </c:pt>
                <c:pt idx="34">
                  <c:v>0.1822792515750315</c:v>
                </c:pt>
                <c:pt idx="35">
                  <c:v>0.38011659918958951</c:v>
                </c:pt>
                <c:pt idx="36">
                  <c:v>0.72755869720173016</c:v>
                </c:pt>
                <c:pt idx="37">
                  <c:v>1.3109597278022271</c:v>
                </c:pt>
                <c:pt idx="38">
                  <c:v>2.2015487158786309</c:v>
                </c:pt>
                <c:pt idx="39">
                  <c:v>3.4941739623384023</c:v>
                </c:pt>
                <c:pt idx="40">
                  <c:v>5.2294581229808177</c:v>
                </c:pt>
                <c:pt idx="41">
                  <c:v>7.3639525210034655</c:v>
                </c:pt>
                <c:pt idx="42">
                  <c:v>9.8307399781845266</c:v>
                </c:pt>
                <c:pt idx="43">
                  <c:v>12.579201852383218</c:v>
                </c:pt>
                <c:pt idx="44">
                  <c:v>15.317620524104983</c:v>
                </c:pt>
                <c:pt idx="45">
                  <c:v>17.763768969060223</c:v>
                </c:pt>
                <c:pt idx="46">
                  <c:v>19.870672510659301</c:v>
                </c:pt>
                <c:pt idx="47">
                  <c:v>21.57646455267961</c:v>
                </c:pt>
                <c:pt idx="48">
                  <c:v>22.844338671810778</c:v>
                </c:pt>
                <c:pt idx="49">
                  <c:v>23.714863776153177</c:v>
                </c:pt>
                <c:pt idx="50">
                  <c:v>24.284982845242592</c:v>
                </c:pt>
                <c:pt idx="51">
                  <c:v>24.624939801605684</c:v>
                </c:pt>
                <c:pt idx="52">
                  <c:v>24.819110658090466</c:v>
                </c:pt>
                <c:pt idx="53">
                  <c:v>24.924318767257979</c:v>
                </c:pt>
                <c:pt idx="54">
                  <c:v>24.970797148787032</c:v>
                </c:pt>
                <c:pt idx="55">
                  <c:v>24.988848545643496</c:v>
                </c:pt>
                <c:pt idx="56">
                  <c:v>24.996429273279453</c:v>
                </c:pt>
                <c:pt idx="57">
                  <c:v>24.999268743346466</c:v>
                </c:pt>
                <c:pt idx="58">
                  <c:v>24.999962500029447</c:v>
                </c:pt>
                <c:pt idx="59">
                  <c:v>24.999962500029337</c:v>
                </c:pt>
                <c:pt idx="60">
                  <c:v>24.999962500028182</c:v>
                </c:pt>
                <c:pt idx="61">
                  <c:v>24.999962500030108</c:v>
                </c:pt>
                <c:pt idx="62">
                  <c:v>24.999962500029341</c:v>
                </c:pt>
                <c:pt idx="63">
                  <c:v>24.999493030421462</c:v>
                </c:pt>
                <c:pt idx="64">
                  <c:v>24.997153986159866</c:v>
                </c:pt>
                <c:pt idx="65">
                  <c:v>24.991179042545621</c:v>
                </c:pt>
                <c:pt idx="66">
                  <c:v>24.975797022620718</c:v>
                </c:pt>
                <c:pt idx="67">
                  <c:v>24.937396092424954</c:v>
                </c:pt>
                <c:pt idx="68">
                  <c:v>24.847495734188495</c:v>
                </c:pt>
                <c:pt idx="69">
                  <c:v>24.677811336480318</c:v>
                </c:pt>
                <c:pt idx="70">
                  <c:v>24.380444169638988</c:v>
                </c:pt>
                <c:pt idx="71">
                  <c:v>23.87861123249246</c:v>
                </c:pt>
                <c:pt idx="72">
                  <c:v>23.101491478544482</c:v>
                </c:pt>
                <c:pt idx="73">
                  <c:v>21.958481680358283</c:v>
                </c:pt>
                <c:pt idx="74">
                  <c:v>20.403658739643827</c:v>
                </c:pt>
                <c:pt idx="75">
                  <c:v>18.444236442579676</c:v>
                </c:pt>
                <c:pt idx="76">
                  <c:v>16.133422898192865</c:v>
                </c:pt>
                <c:pt idx="77">
                  <c:v>13.522424343369176</c:v>
                </c:pt>
                <c:pt idx="78">
                  <c:v>10.799378222532939</c:v>
                </c:pt>
                <c:pt idx="79">
                  <c:v>8.265975452857667</c:v>
                </c:pt>
                <c:pt idx="80">
                  <c:v>6.0390072656168394</c:v>
                </c:pt>
                <c:pt idx="81">
                  <c:v>4.1767255685559421</c:v>
                </c:pt>
                <c:pt idx="82">
                  <c:v>2.7345892232494808</c:v>
                </c:pt>
                <c:pt idx="83">
                  <c:v>1.6882362034374179</c:v>
                </c:pt>
                <c:pt idx="84">
                  <c:v>0.9845236425017001</c:v>
                </c:pt>
                <c:pt idx="85">
                  <c:v>0.54225441291578291</c:v>
                </c:pt>
                <c:pt idx="86">
                  <c:v>0.27888676343055108</c:v>
                </c:pt>
                <c:pt idx="87">
                  <c:v>0.12870159842438564</c:v>
                </c:pt>
                <c:pt idx="88">
                  <c:v>5.2744004626006369E-2</c:v>
                </c:pt>
                <c:pt idx="89">
                  <c:v>2.086066911588072E-2</c:v>
                </c:pt>
                <c:pt idx="90">
                  <c:v>7.2010804693656283E-3</c:v>
                </c:pt>
                <c:pt idx="91">
                  <c:v>2.2686568213502456E-3</c:v>
                </c:pt>
                <c:pt idx="92">
                  <c:v>3.0932410758865991E-4</c:v>
                </c:pt>
                <c:pt idx="93">
                  <c:v>0</c:v>
                </c:pt>
                <c:pt idx="94">
                  <c:v>4.2841286074235541E-12</c:v>
                </c:pt>
                <c:pt idx="95">
                  <c:v>-2.5329738306822946E-12</c:v>
                </c:pt>
                <c:pt idx="96">
                  <c:v>4.7764014965423485E-12</c:v>
                </c:pt>
                <c:pt idx="97">
                  <c:v>4.9741877283793201E-12</c:v>
                </c:pt>
                <c:pt idx="98">
                  <c:v>2.634892304342884E-12</c:v>
                </c:pt>
                <c:pt idx="99">
                  <c:v>-1.1717293801893902E-12</c:v>
                </c:pt>
                <c:pt idx="100">
                  <c:v>-1.1723955140041653E-12</c:v>
                </c:pt>
                <c:pt idx="101">
                  <c:v>-1.2708167851371854E-12</c:v>
                </c:pt>
                <c:pt idx="102">
                  <c:v>5.0861537204127671E-12</c:v>
                </c:pt>
                <c:pt idx="103">
                  <c:v>3.3274494271040567E-12</c:v>
                </c:pt>
                <c:pt idx="104">
                  <c:v>0</c:v>
                </c:pt>
                <c:pt idx="105">
                  <c:v>5.3887450057743536E-12</c:v>
                </c:pt>
                <c:pt idx="106">
                  <c:v>-4.1173731091248555E-12</c:v>
                </c:pt>
                <c:pt idx="107">
                  <c:v>1.0103085035240156E-11</c:v>
                </c:pt>
                <c:pt idx="108">
                  <c:v>-1.3936407583514665E-11</c:v>
                </c:pt>
                <c:pt idx="109">
                  <c:v>-5.5973559121014205E-12</c:v>
                </c:pt>
                <c:pt idx="110">
                  <c:v>0</c:v>
                </c:pt>
                <c:pt idx="111">
                  <c:v>-8.5529916482585122E-12</c:v>
                </c:pt>
                <c:pt idx="112">
                  <c:v>0</c:v>
                </c:pt>
                <c:pt idx="113">
                  <c:v>7.6768591483755699E-12</c:v>
                </c:pt>
                <c:pt idx="114">
                  <c:v>-8.173572929592865E-12</c:v>
                </c:pt>
                <c:pt idx="115">
                  <c:v>6.3060667798708891E-12</c:v>
                </c:pt>
                <c:pt idx="116">
                  <c:v>3.6477487697084143E-12</c:v>
                </c:pt>
                <c:pt idx="117">
                  <c:v>0</c:v>
                </c:pt>
                <c:pt idx="118">
                  <c:v>1.8752777108943519E-12</c:v>
                </c:pt>
                <c:pt idx="119">
                  <c:v>-2.0738410988485612E-12</c:v>
                </c:pt>
                <c:pt idx="120">
                  <c:v>-3.0631053249408069E-12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10598864"/>
        <c:axId val="-1710590704"/>
      </c:lineChart>
      <c:catAx>
        <c:axId val="-171059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710590704"/>
        <c:crosses val="autoZero"/>
        <c:auto val="1"/>
        <c:lblAlgn val="ctr"/>
        <c:lblOffset val="100"/>
        <c:noMultiLvlLbl val="0"/>
      </c:catAx>
      <c:valAx>
        <c:axId val="-171059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71059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When</a:t>
            </a:r>
            <a:r>
              <a:rPr lang="en-US" altLang="ko-KR" baseline="0"/>
              <a:t> Tau is 3 months, Delta of Digtal vs Call Spread</a:t>
            </a:r>
          </a:p>
          <a:p>
            <a:pPr>
              <a:defRPr/>
            </a:pPr>
            <a:r>
              <a:rPr lang="en-US" altLang="ko-KR" baseline="0"/>
              <a:t>ATM = 430.00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Digital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21"/>
                <c:pt idx="0">
                  <c:v>3.4893902211971577</c:v>
                </c:pt>
                <c:pt idx="1">
                  <c:v>3.4844089360848152</c:v>
                </c:pt>
                <c:pt idx="2">
                  <c:v>3.5093153616465362</c:v>
                </c:pt>
                <c:pt idx="3">
                  <c:v>3.4968621488656737</c:v>
                </c:pt>
                <c:pt idx="4">
                  <c:v>3.4794276509724691</c:v>
                </c:pt>
                <c:pt idx="5">
                  <c:v>3.5018434339780193</c:v>
                </c:pt>
                <c:pt idx="6">
                  <c:v>3.4993527914218472</c:v>
                </c:pt>
                <c:pt idx="7">
                  <c:v>3.4669744381916079</c:v>
                </c:pt>
                <c:pt idx="8">
                  <c:v>3.4719557233039575</c:v>
                </c:pt>
                <c:pt idx="9">
                  <c:v>3.4370867275175465</c:v>
                </c:pt>
                <c:pt idx="10">
                  <c:v>3.4146709445119972</c:v>
                </c:pt>
                <c:pt idx="11">
                  <c:v>3.4520305828545785</c:v>
                </c:pt>
                <c:pt idx="12">
                  <c:v>3.4644837956354428</c:v>
                </c:pt>
                <c:pt idx="13">
                  <c:v>3.4495399402984073</c:v>
                </c:pt>
                <c:pt idx="14">
                  <c:v>3.4520305828545785</c:v>
                </c:pt>
                <c:pt idx="15">
                  <c:v>3.4719557233039544</c:v>
                </c:pt>
                <c:pt idx="16">
                  <c:v>3.4545212254107529</c:v>
                </c:pt>
                <c:pt idx="17">
                  <c:v>3.4271241572928575</c:v>
                </c:pt>
                <c:pt idx="18">
                  <c:v>3.4545212254107502</c:v>
                </c:pt>
                <c:pt idx="19">
                  <c:v>3.5043340765341937</c:v>
                </c:pt>
                <c:pt idx="20">
                  <c:v>3.556637570213808</c:v>
                </c:pt>
                <c:pt idx="21">
                  <c:v>3.5740720681070148</c:v>
                </c:pt>
                <c:pt idx="22">
                  <c:v>3.5790533532193582</c:v>
                </c:pt>
                <c:pt idx="23">
                  <c:v>3.5939972085563898</c:v>
                </c:pt>
                <c:pt idx="24">
                  <c:v>3.6189036341181118</c:v>
                </c:pt>
                <c:pt idx="25">
                  <c:v>3.6388287745674872</c:v>
                </c:pt>
                <c:pt idx="26">
                  <c:v>3.6263755617866296</c:v>
                </c:pt>
                <c:pt idx="27">
                  <c:v>3.6537726299045228</c:v>
                </c:pt>
                <c:pt idx="28">
                  <c:v>3.6338474894551447</c:v>
                </c:pt>
                <c:pt idx="29">
                  <c:v>3.6487913447921763</c:v>
                </c:pt>
                <c:pt idx="30">
                  <c:v>3.6537726299045228</c:v>
                </c:pt>
                <c:pt idx="31">
                  <c:v>3.6388287745674903</c:v>
                </c:pt>
                <c:pt idx="32">
                  <c:v>3.6189036341181113</c:v>
                </c:pt>
                <c:pt idx="33">
                  <c:v>3.6687164852415552</c:v>
                </c:pt>
                <c:pt idx="34">
                  <c:v>3.6662258426853831</c:v>
                </c:pt>
                <c:pt idx="35">
                  <c:v>3.7010948384717941</c:v>
                </c:pt>
                <c:pt idx="36">
                  <c:v>3.6986041959156193</c:v>
                </c:pt>
                <c:pt idx="37">
                  <c:v>3.7409451193705476</c:v>
                </c:pt>
                <c:pt idx="38">
                  <c:v>3.7260012640335125</c:v>
                </c:pt>
                <c:pt idx="39">
                  <c:v>3.7733234726007834</c:v>
                </c:pt>
                <c:pt idx="40">
                  <c:v>3.7807954002693016</c:v>
                </c:pt>
                <c:pt idx="41">
                  <c:v>3.7683421874884377</c:v>
                </c:pt>
                <c:pt idx="42">
                  <c:v>3.8007205407186744</c:v>
                </c:pt>
                <c:pt idx="43">
                  <c:v>3.8281176088365703</c:v>
                </c:pt>
                <c:pt idx="44">
                  <c:v>3.8754398174038389</c:v>
                </c:pt>
                <c:pt idx="45">
                  <c:v>3.930233953639628</c:v>
                </c:pt>
                <c:pt idx="46">
                  <c:v>3.9377058813081431</c:v>
                </c:pt>
                <c:pt idx="47">
                  <c:v>3.9725748770945506</c:v>
                </c:pt>
                <c:pt idx="48">
                  <c:v>3.9974813026562774</c:v>
                </c:pt>
                <c:pt idx="49">
                  <c:v>4.0472941537797178</c:v>
                </c:pt>
                <c:pt idx="50">
                  <c:v>4.0647286516729215</c:v>
                </c:pt>
                <c:pt idx="51">
                  <c:v>4.0697099367852649</c:v>
                </c:pt>
                <c:pt idx="52">
                  <c:v>4.0672192942290959</c:v>
                </c:pt>
                <c:pt idx="53">
                  <c:v>4.0174064431056511</c:v>
                </c:pt>
                <c:pt idx="54">
                  <c:v>4.027369013330337</c:v>
                </c:pt>
                <c:pt idx="55">
                  <c:v>3.9974813026562717</c:v>
                </c:pt>
                <c:pt idx="56">
                  <c:v>4.0223877282179972</c:v>
                </c:pt>
                <c:pt idx="57">
                  <c:v>4.0174064431056502</c:v>
                </c:pt>
                <c:pt idx="58">
                  <c:v>4.0049532303247899</c:v>
                </c:pt>
                <c:pt idx="59">
                  <c:v>3.9925000175439314</c:v>
                </c:pt>
                <c:pt idx="60">
                  <c:v>3.9949906601001035</c:v>
                </c:pt>
                <c:pt idx="61">
                  <c:v>3.980046804763071</c:v>
                </c:pt>
                <c:pt idx="62">
                  <c:v>3.9700842345383824</c:v>
                </c:pt>
                <c:pt idx="63">
                  <c:v>3.9700842345383789</c:v>
                </c:pt>
                <c:pt idx="64">
                  <c:v>3.9700842345383816</c:v>
                </c:pt>
                <c:pt idx="65">
                  <c:v>3.9651029494260359</c:v>
                </c:pt>
                <c:pt idx="66">
                  <c:v>3.999971945212446</c:v>
                </c:pt>
                <c:pt idx="67">
                  <c:v>3.9925000175439322</c:v>
                </c:pt>
                <c:pt idx="68">
                  <c:v>3.9949906601001004</c:v>
                </c:pt>
                <c:pt idx="69">
                  <c:v>4.0124251579933077</c:v>
                </c:pt>
                <c:pt idx="70">
                  <c:v>4.0298596558865105</c:v>
                </c:pt>
                <c:pt idx="71">
                  <c:v>4.0024625877686217</c:v>
                </c:pt>
                <c:pt idx="72">
                  <c:v>4.0198970856618246</c:v>
                </c:pt>
                <c:pt idx="73">
                  <c:v>4.0223877282179963</c:v>
                </c:pt>
                <c:pt idx="74">
                  <c:v>4.0398222261111982</c:v>
                </c:pt>
                <c:pt idx="75">
                  <c:v>4.0771818644537854</c:v>
                </c:pt>
                <c:pt idx="76">
                  <c:v>4.0647286516729251</c:v>
                </c:pt>
                <c:pt idx="77">
                  <c:v>4.0597473665605763</c:v>
                </c:pt>
                <c:pt idx="78">
                  <c:v>4.012425157993305</c:v>
                </c:pt>
                <c:pt idx="79">
                  <c:v>3.982537447319245</c:v>
                </c:pt>
                <c:pt idx="80">
                  <c:v>3.9476684515328317</c:v>
                </c:pt>
                <c:pt idx="81">
                  <c:v>3.9451778089766574</c:v>
                </c:pt>
                <c:pt idx="82">
                  <c:v>3.8928743152970453</c:v>
                </c:pt>
                <c:pt idx="83">
                  <c:v>3.8480427492859457</c:v>
                </c:pt>
                <c:pt idx="84">
                  <c:v>3.8007205407186717</c:v>
                </c:pt>
                <c:pt idx="85">
                  <c:v>3.7932486130501597</c:v>
                </c:pt>
                <c:pt idx="86">
                  <c:v>3.7882673279378158</c:v>
                </c:pt>
                <c:pt idx="87">
                  <c:v>3.7658515449322638</c:v>
                </c:pt>
                <c:pt idx="88">
                  <c:v>3.7359638342581989</c:v>
                </c:pt>
                <c:pt idx="89">
                  <c:v>3.7235106214773377</c:v>
                </c:pt>
                <c:pt idx="90">
                  <c:v>3.7235106214773439</c:v>
                </c:pt>
                <c:pt idx="91">
                  <c:v>3.6861509831347559</c:v>
                </c:pt>
                <c:pt idx="92">
                  <c:v>3.6886416256909302</c:v>
                </c:pt>
                <c:pt idx="93">
                  <c:v>3.6612445575730401</c:v>
                </c:pt>
                <c:pt idx="94">
                  <c:v>3.651281987348348</c:v>
                </c:pt>
                <c:pt idx="95">
                  <c:v>3.6213942766742835</c:v>
                </c:pt>
                <c:pt idx="96">
                  <c:v>3.6388287745674881</c:v>
                </c:pt>
                <c:pt idx="97">
                  <c:v>3.6662258426853773</c:v>
                </c:pt>
                <c:pt idx="98">
                  <c:v>3.6363381320113124</c:v>
                </c:pt>
                <c:pt idx="99">
                  <c:v>3.6463007022360054</c:v>
                </c:pt>
                <c:pt idx="100">
                  <c:v>3.6512819873483484</c:v>
                </c:pt>
                <c:pt idx="101">
                  <c:v>3.6288662043427955</c:v>
                </c:pt>
                <c:pt idx="102">
                  <c:v>3.6388287745674872</c:v>
                </c:pt>
                <c:pt idx="103">
                  <c:v>3.6213942766742839</c:v>
                </c:pt>
                <c:pt idx="104">
                  <c:v>3.6089410638934227</c:v>
                </c:pt>
                <c:pt idx="105">
                  <c:v>3.5840346383316954</c:v>
                </c:pt>
                <c:pt idx="106">
                  <c:v>3.5666001404384975</c:v>
                </c:pt>
                <c:pt idx="107">
                  <c:v>3.5690907829946656</c:v>
                </c:pt>
                <c:pt idx="108">
                  <c:v>3.516787289315054</c:v>
                </c:pt>
                <c:pt idx="109">
                  <c:v>3.46946508074778</c:v>
                </c:pt>
                <c:pt idx="110">
                  <c:v>3.4370867275175465</c:v>
                </c:pt>
                <c:pt idx="111">
                  <c:v>3.4321054424052031</c:v>
                </c:pt>
                <c:pt idx="112">
                  <c:v>3.4644837956354371</c:v>
                </c:pt>
                <c:pt idx="113">
                  <c:v>3.4495399402984073</c:v>
                </c:pt>
                <c:pt idx="114">
                  <c:v>3.4595025105230879</c:v>
                </c:pt>
                <c:pt idx="115">
                  <c:v>3.4669744381916114</c:v>
                </c:pt>
                <c:pt idx="116">
                  <c:v>3.4545212254107502</c:v>
                </c:pt>
                <c:pt idx="117">
                  <c:v>3.4420680126298895</c:v>
                </c:pt>
                <c:pt idx="118">
                  <c:v>3.4345960849613717</c:v>
                </c:pt>
                <c:pt idx="119">
                  <c:v>3.4345960849613721</c:v>
                </c:pt>
                <c:pt idx="120">
                  <c:v>3.4669744381916057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21"/>
                      <c:pt idx="0">
                        <c:v>415</c:v>
                      </c:pt>
                      <c:pt idx="1">
                        <c:v>415.25</c:v>
                      </c:pt>
                      <c:pt idx="2">
                        <c:v>415.5</c:v>
                      </c:pt>
                      <c:pt idx="3">
                        <c:v>415.75</c:v>
                      </c:pt>
                      <c:pt idx="4">
                        <c:v>416</c:v>
                      </c:pt>
                      <c:pt idx="5">
                        <c:v>416.25</c:v>
                      </c:pt>
                      <c:pt idx="6">
                        <c:v>416.5</c:v>
                      </c:pt>
                      <c:pt idx="7">
                        <c:v>416.75</c:v>
                      </c:pt>
                      <c:pt idx="8">
                        <c:v>417</c:v>
                      </c:pt>
                      <c:pt idx="9">
                        <c:v>417.25</c:v>
                      </c:pt>
                      <c:pt idx="10">
                        <c:v>417.5</c:v>
                      </c:pt>
                      <c:pt idx="11">
                        <c:v>417.75</c:v>
                      </c:pt>
                      <c:pt idx="12">
                        <c:v>418</c:v>
                      </c:pt>
                      <c:pt idx="13">
                        <c:v>418.25</c:v>
                      </c:pt>
                      <c:pt idx="14">
                        <c:v>418.5</c:v>
                      </c:pt>
                      <c:pt idx="15">
                        <c:v>418.75</c:v>
                      </c:pt>
                      <c:pt idx="16">
                        <c:v>419</c:v>
                      </c:pt>
                      <c:pt idx="17">
                        <c:v>419.25</c:v>
                      </c:pt>
                      <c:pt idx="18">
                        <c:v>419.5</c:v>
                      </c:pt>
                      <c:pt idx="19">
                        <c:v>419.75</c:v>
                      </c:pt>
                      <c:pt idx="20">
                        <c:v>420</c:v>
                      </c:pt>
                      <c:pt idx="21">
                        <c:v>420.25</c:v>
                      </c:pt>
                      <c:pt idx="22">
                        <c:v>420.5</c:v>
                      </c:pt>
                      <c:pt idx="23">
                        <c:v>420.75</c:v>
                      </c:pt>
                      <c:pt idx="24">
                        <c:v>421</c:v>
                      </c:pt>
                      <c:pt idx="25">
                        <c:v>421.25</c:v>
                      </c:pt>
                      <c:pt idx="26">
                        <c:v>421.5</c:v>
                      </c:pt>
                      <c:pt idx="27">
                        <c:v>421.75</c:v>
                      </c:pt>
                      <c:pt idx="28">
                        <c:v>422</c:v>
                      </c:pt>
                      <c:pt idx="29">
                        <c:v>422.25</c:v>
                      </c:pt>
                      <c:pt idx="30">
                        <c:v>422.5</c:v>
                      </c:pt>
                      <c:pt idx="31">
                        <c:v>422.75</c:v>
                      </c:pt>
                      <c:pt idx="32">
                        <c:v>423</c:v>
                      </c:pt>
                      <c:pt idx="33">
                        <c:v>423.25</c:v>
                      </c:pt>
                      <c:pt idx="34">
                        <c:v>423.5</c:v>
                      </c:pt>
                      <c:pt idx="35">
                        <c:v>423.75</c:v>
                      </c:pt>
                      <c:pt idx="36">
                        <c:v>424</c:v>
                      </c:pt>
                      <c:pt idx="37">
                        <c:v>424.25</c:v>
                      </c:pt>
                      <c:pt idx="38">
                        <c:v>424.5</c:v>
                      </c:pt>
                      <c:pt idx="39">
                        <c:v>424.75</c:v>
                      </c:pt>
                      <c:pt idx="40">
                        <c:v>425</c:v>
                      </c:pt>
                      <c:pt idx="41">
                        <c:v>425.25</c:v>
                      </c:pt>
                      <c:pt idx="42">
                        <c:v>425.5</c:v>
                      </c:pt>
                      <c:pt idx="43">
                        <c:v>425.75</c:v>
                      </c:pt>
                      <c:pt idx="44">
                        <c:v>426</c:v>
                      </c:pt>
                      <c:pt idx="45">
                        <c:v>426.25</c:v>
                      </c:pt>
                      <c:pt idx="46">
                        <c:v>426.5</c:v>
                      </c:pt>
                      <c:pt idx="47">
                        <c:v>426.75</c:v>
                      </c:pt>
                      <c:pt idx="48">
                        <c:v>427</c:v>
                      </c:pt>
                      <c:pt idx="49">
                        <c:v>427.25</c:v>
                      </c:pt>
                      <c:pt idx="50">
                        <c:v>427.5</c:v>
                      </c:pt>
                      <c:pt idx="51">
                        <c:v>427.75</c:v>
                      </c:pt>
                      <c:pt idx="52">
                        <c:v>428</c:v>
                      </c:pt>
                      <c:pt idx="53">
                        <c:v>428.25</c:v>
                      </c:pt>
                      <c:pt idx="54">
                        <c:v>428.5</c:v>
                      </c:pt>
                      <c:pt idx="55">
                        <c:v>428.75</c:v>
                      </c:pt>
                      <c:pt idx="56">
                        <c:v>429</c:v>
                      </c:pt>
                      <c:pt idx="57">
                        <c:v>429.25</c:v>
                      </c:pt>
                      <c:pt idx="58">
                        <c:v>429.5</c:v>
                      </c:pt>
                      <c:pt idx="59">
                        <c:v>429.75</c:v>
                      </c:pt>
                      <c:pt idx="60">
                        <c:v>430</c:v>
                      </c:pt>
                      <c:pt idx="61">
                        <c:v>430.25</c:v>
                      </c:pt>
                      <c:pt idx="62">
                        <c:v>430.5</c:v>
                      </c:pt>
                      <c:pt idx="63">
                        <c:v>430.75</c:v>
                      </c:pt>
                      <c:pt idx="64">
                        <c:v>431</c:v>
                      </c:pt>
                      <c:pt idx="65">
                        <c:v>431.25</c:v>
                      </c:pt>
                      <c:pt idx="66">
                        <c:v>431.5</c:v>
                      </c:pt>
                      <c:pt idx="67">
                        <c:v>431.75</c:v>
                      </c:pt>
                      <c:pt idx="68">
                        <c:v>432</c:v>
                      </c:pt>
                      <c:pt idx="69">
                        <c:v>432.25</c:v>
                      </c:pt>
                      <c:pt idx="70">
                        <c:v>432.5</c:v>
                      </c:pt>
                      <c:pt idx="71">
                        <c:v>432.75</c:v>
                      </c:pt>
                      <c:pt idx="72">
                        <c:v>433</c:v>
                      </c:pt>
                      <c:pt idx="73">
                        <c:v>433.25</c:v>
                      </c:pt>
                      <c:pt idx="74">
                        <c:v>433.5</c:v>
                      </c:pt>
                      <c:pt idx="75">
                        <c:v>433.75</c:v>
                      </c:pt>
                      <c:pt idx="76">
                        <c:v>434</c:v>
                      </c:pt>
                      <c:pt idx="77">
                        <c:v>434.25</c:v>
                      </c:pt>
                      <c:pt idx="78">
                        <c:v>434.5</c:v>
                      </c:pt>
                      <c:pt idx="79">
                        <c:v>434.75</c:v>
                      </c:pt>
                      <c:pt idx="80">
                        <c:v>435</c:v>
                      </c:pt>
                      <c:pt idx="81">
                        <c:v>435.25</c:v>
                      </c:pt>
                      <c:pt idx="82">
                        <c:v>435.5</c:v>
                      </c:pt>
                      <c:pt idx="83">
                        <c:v>435.75</c:v>
                      </c:pt>
                      <c:pt idx="84">
                        <c:v>436</c:v>
                      </c:pt>
                      <c:pt idx="85">
                        <c:v>436.25</c:v>
                      </c:pt>
                      <c:pt idx="86">
                        <c:v>436.5</c:v>
                      </c:pt>
                      <c:pt idx="87">
                        <c:v>436.75</c:v>
                      </c:pt>
                      <c:pt idx="88">
                        <c:v>437</c:v>
                      </c:pt>
                      <c:pt idx="89">
                        <c:v>437.25</c:v>
                      </c:pt>
                      <c:pt idx="90">
                        <c:v>437.5</c:v>
                      </c:pt>
                      <c:pt idx="91">
                        <c:v>437.75</c:v>
                      </c:pt>
                      <c:pt idx="92">
                        <c:v>438</c:v>
                      </c:pt>
                      <c:pt idx="93">
                        <c:v>438.25</c:v>
                      </c:pt>
                      <c:pt idx="94">
                        <c:v>438.5</c:v>
                      </c:pt>
                      <c:pt idx="95">
                        <c:v>438.75</c:v>
                      </c:pt>
                      <c:pt idx="96">
                        <c:v>439</c:v>
                      </c:pt>
                      <c:pt idx="97">
                        <c:v>439.25</c:v>
                      </c:pt>
                      <c:pt idx="98">
                        <c:v>439.5</c:v>
                      </c:pt>
                      <c:pt idx="99">
                        <c:v>439.75</c:v>
                      </c:pt>
                      <c:pt idx="100">
                        <c:v>440</c:v>
                      </c:pt>
                      <c:pt idx="101">
                        <c:v>440.25</c:v>
                      </c:pt>
                      <c:pt idx="102">
                        <c:v>440.5</c:v>
                      </c:pt>
                      <c:pt idx="103">
                        <c:v>440.75</c:v>
                      </c:pt>
                      <c:pt idx="104">
                        <c:v>441</c:v>
                      </c:pt>
                      <c:pt idx="105">
                        <c:v>441.25</c:v>
                      </c:pt>
                      <c:pt idx="106">
                        <c:v>441.5</c:v>
                      </c:pt>
                      <c:pt idx="107">
                        <c:v>441.75</c:v>
                      </c:pt>
                      <c:pt idx="108">
                        <c:v>442</c:v>
                      </c:pt>
                      <c:pt idx="109">
                        <c:v>442.25</c:v>
                      </c:pt>
                      <c:pt idx="110">
                        <c:v>442.5</c:v>
                      </c:pt>
                      <c:pt idx="111">
                        <c:v>442.75</c:v>
                      </c:pt>
                      <c:pt idx="112">
                        <c:v>443</c:v>
                      </c:pt>
                      <c:pt idx="113">
                        <c:v>443.25</c:v>
                      </c:pt>
                      <c:pt idx="114">
                        <c:v>443.5</c:v>
                      </c:pt>
                      <c:pt idx="115">
                        <c:v>443.75</c:v>
                      </c:pt>
                      <c:pt idx="116">
                        <c:v>444</c:v>
                      </c:pt>
                      <c:pt idx="117">
                        <c:v>444.25</c:v>
                      </c:pt>
                      <c:pt idx="118">
                        <c:v>444.5</c:v>
                      </c:pt>
                      <c:pt idx="119">
                        <c:v>444.75</c:v>
                      </c:pt>
                      <c:pt idx="120">
                        <c:v>445</c:v>
                      </c:pt>
                    </c:numCache>
                  </c:numRef>
                </c15:cat>
              </c15:filteredCategoryTitle>
            </c:ext>
          </c:extLst>
        </c:ser>
        <c:ser>
          <c:idx val="1"/>
          <c:order val="1"/>
          <c:tx>
            <c:v>Call Spread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21"/>
                <c:pt idx="0">
                  <c:v>1.7435144244205936</c:v>
                </c:pt>
                <c:pt idx="1">
                  <c:v>1.7469637919821144</c:v>
                </c:pt>
                <c:pt idx="2">
                  <c:v>1.7537028819396556</c:v>
                </c:pt>
                <c:pt idx="3">
                  <c:v>1.7491528453635219</c:v>
                </c:pt>
                <c:pt idx="4">
                  <c:v>1.7466209647553494</c:v>
                </c:pt>
                <c:pt idx="5">
                  <c:v>1.7506319806863593</c:v>
                </c:pt>
                <c:pt idx="6">
                  <c:v>1.7430009140317824</c:v>
                </c:pt>
                <c:pt idx="7">
                  <c:v>1.7359287828329886</c:v>
                </c:pt>
                <c:pt idx="8">
                  <c:v>1.7308899305628196</c:v>
                </c:pt>
                <c:pt idx="9">
                  <c:v>1.7216506671803469</c:v>
                </c:pt>
                <c:pt idx="10">
                  <c:v>1.7175765998237087</c:v>
                </c:pt>
                <c:pt idx="11">
                  <c:v>1.7202334759406994</c:v>
                </c:pt>
                <c:pt idx="12">
                  <c:v>1.7276824505820958</c:v>
                </c:pt>
                <c:pt idx="13">
                  <c:v>1.7289112664261814</c:v>
                </c:pt>
                <c:pt idx="14">
                  <c:v>1.7268017980636878</c:v>
                </c:pt>
                <c:pt idx="15">
                  <c:v>1.7283707386768745</c:v>
                </c:pt>
                <c:pt idx="16">
                  <c:v>1.7232500265571888</c:v>
                </c:pt>
                <c:pt idx="17">
                  <c:v>1.7207552156689125</c:v>
                </c:pt>
                <c:pt idx="18">
                  <c:v>1.7305983525282009</c:v>
                </c:pt>
                <c:pt idx="19">
                  <c:v>1.7520422102293665</c:v>
                </c:pt>
                <c:pt idx="20">
                  <c:v>1.7745726812500628</c:v>
                </c:pt>
                <c:pt idx="21">
                  <c:v>1.7834005825535331</c:v>
                </c:pt>
                <c:pt idx="22">
                  <c:v>1.7900373269234058</c:v>
                </c:pt>
                <c:pt idx="23">
                  <c:v>1.8011880650804415</c:v>
                </c:pt>
                <c:pt idx="24">
                  <c:v>1.8127495458927008</c:v>
                </c:pt>
                <c:pt idx="25">
                  <c:v>1.8167609056046656</c:v>
                </c:pt>
                <c:pt idx="26">
                  <c:v>1.8167709455788412</c:v>
                </c:pt>
                <c:pt idx="27">
                  <c:v>1.8221455913225952</c:v>
                </c:pt>
                <c:pt idx="28">
                  <c:v>1.8225078745491201</c:v>
                </c:pt>
                <c:pt idx="29">
                  <c:v>1.8221984117347174</c:v>
                </c:pt>
                <c:pt idx="30">
                  <c:v>1.8245534035252784</c:v>
                </c:pt>
                <c:pt idx="31">
                  <c:v>1.8193327938715305</c:v>
                </c:pt>
                <c:pt idx="32">
                  <c:v>1.8186174868159317</c:v>
                </c:pt>
                <c:pt idx="33">
                  <c:v>1.8288268701946966</c:v>
                </c:pt>
                <c:pt idx="34">
                  <c:v>1.8383935935743954</c:v>
                </c:pt>
                <c:pt idx="35">
                  <c:v>1.8433785504342532</c:v>
                </c:pt>
                <c:pt idx="36">
                  <c:v>1.853399260784363</c:v>
                </c:pt>
                <c:pt idx="37">
                  <c:v>1.8635501472354112</c:v>
                </c:pt>
                <c:pt idx="38">
                  <c:v>1.8675070624630519</c:v>
                </c:pt>
                <c:pt idx="39">
                  <c:v>1.8797465888482556</c:v>
                </c:pt>
                <c:pt idx="40">
                  <c:v>1.8890805052374671</c:v>
                </c:pt>
                <c:pt idx="41">
                  <c:v>1.8920845075471491</c:v>
                </c:pt>
                <c:pt idx="42">
                  <c:v>1.898618936712019</c:v>
                </c:pt>
                <c:pt idx="43">
                  <c:v>1.915943147196054</c:v>
                </c:pt>
                <c:pt idx="44">
                  <c:v>1.9383744940877983</c:v>
                </c:pt>
                <c:pt idx="45">
                  <c:v>1.9596287820635883</c:v>
                </c:pt>
                <c:pt idx="46">
                  <c:v>1.973898583437254</c:v>
                </c:pt>
                <c:pt idx="47">
                  <c:v>1.9859742064121699</c:v>
                </c:pt>
                <c:pt idx="48">
                  <c:v>2.0019438785492287</c:v>
                </c:pt>
                <c:pt idx="49">
                  <c:v>2.018161408956392</c:v>
                </c:pt>
                <c:pt idx="50">
                  <c:v>2.0303638598086775</c:v>
                </c:pt>
                <c:pt idx="51">
                  <c:v>2.0337998246736264</c:v>
                </c:pt>
                <c:pt idx="52">
                  <c:v>2.027340447156345</c:v>
                </c:pt>
                <c:pt idx="53">
                  <c:v>2.0152463197138557</c:v>
                </c:pt>
                <c:pt idx="54">
                  <c:v>2.0110588298663843</c:v>
                </c:pt>
                <c:pt idx="55">
                  <c:v>2.0090322230695432</c:v>
                </c:pt>
                <c:pt idx="56">
                  <c:v>2.009207123977315</c:v>
                </c:pt>
                <c:pt idx="57">
                  <c:v>2.0073929433277224</c:v>
                </c:pt>
                <c:pt idx="58">
                  <c:v>2.0000492979113265</c:v>
                </c:pt>
                <c:pt idx="59">
                  <c:v>1.9988902652466316</c:v>
                </c:pt>
                <c:pt idx="60">
                  <c:v>1.9968637291390023</c:v>
                </c:pt>
                <c:pt idx="61">
                  <c:v>1.9891201757888037</c:v>
                </c:pt>
                <c:pt idx="62">
                  <c:v>1.9857506530142608</c:v>
                </c:pt>
                <c:pt idx="63">
                  <c:v>1.9862551976887135</c:v>
                </c:pt>
                <c:pt idx="64">
                  <c:v>1.9859131581968774</c:v>
                </c:pt>
                <c:pt idx="65">
                  <c:v>1.9881811297567338</c:v>
                </c:pt>
                <c:pt idx="66">
                  <c:v>1.9960283331242155</c:v>
                </c:pt>
                <c:pt idx="67">
                  <c:v>1.9989295153924889</c:v>
                </c:pt>
                <c:pt idx="68">
                  <c:v>1.9994822066576941</c:v>
                </c:pt>
                <c:pt idx="69">
                  <c:v>2.0064201345773509</c:v>
                </c:pt>
                <c:pt idx="70">
                  <c:v>2.0096056692068425</c:v>
                </c:pt>
                <c:pt idx="71">
                  <c:v>2.0090609521407075</c:v>
                </c:pt>
                <c:pt idx="72">
                  <c:v>2.010054606540753</c:v>
                </c:pt>
                <c:pt idx="73">
                  <c:v>2.013899163702074</c:v>
                </c:pt>
                <c:pt idx="74">
                  <c:v>2.0248875070487675</c:v>
                </c:pt>
                <c:pt idx="75">
                  <c:v>2.0331153853895825</c:v>
                </c:pt>
                <c:pt idx="76">
                  <c:v>2.0313886245593937</c:v>
                </c:pt>
                <c:pt idx="77">
                  <c:v>2.0218700989804645</c:v>
                </c:pt>
                <c:pt idx="78">
                  <c:v>2.0066350630916068</c:v>
                </c:pt>
                <c:pt idx="79">
                  <c:v>1.9903417213948176</c:v>
                </c:pt>
                <c:pt idx="80">
                  <c:v>1.9768420210194915</c:v>
                </c:pt>
                <c:pt idx="81">
                  <c:v>1.9646253885856126</c:v>
                </c:pt>
                <c:pt idx="82">
                  <c:v>1.9475108232502154</c:v>
                </c:pt>
                <c:pt idx="83">
                  <c:v>1.9231834139175079</c:v>
                </c:pt>
                <c:pt idx="84">
                  <c:v>1.9042257297010954</c:v>
                </c:pt>
                <c:pt idx="85">
                  <c:v>1.8934675842736168</c:v>
                </c:pt>
                <c:pt idx="86">
                  <c:v>1.8895187006419558</c:v>
                </c:pt>
                <c:pt idx="87">
                  <c:v>1.8863869257078187</c:v>
                </c:pt>
                <c:pt idx="88">
                  <c:v>1.8726200707250531</c:v>
                </c:pt>
                <c:pt idx="89">
                  <c:v>1.865793575094284</c:v>
                </c:pt>
                <c:pt idx="90">
                  <c:v>1.8588979987370704</c:v>
                </c:pt>
                <c:pt idx="91">
                  <c:v>1.8482129505626204</c:v>
                </c:pt>
                <c:pt idx="92">
                  <c:v>1.8421184289246846</c:v>
                </c:pt>
                <c:pt idx="93">
                  <c:v>1.8357306796620245</c:v>
                </c:pt>
                <c:pt idx="94">
                  <c:v>1.8244223048778831</c:v>
                </c:pt>
                <c:pt idx="95">
                  <c:v>1.817285160728225</c:v>
                </c:pt>
                <c:pt idx="96">
                  <c:v>1.8222369947073456</c:v>
                </c:pt>
                <c:pt idx="97">
                  <c:v>1.8242893050947324</c:v>
                </c:pt>
                <c:pt idx="98">
                  <c:v>1.8213201295779102</c:v>
                </c:pt>
                <c:pt idx="99">
                  <c:v>1.8228925624187662</c:v>
                </c:pt>
                <c:pt idx="100">
                  <c:v>1.821846685283135</c:v>
                </c:pt>
                <c:pt idx="101">
                  <c:v>1.8165557436948121</c:v>
                </c:pt>
                <c:pt idx="102">
                  <c:v>1.8167451297919968</c:v>
                </c:pt>
                <c:pt idx="103">
                  <c:v>1.8131286641082787</c:v>
                </c:pt>
                <c:pt idx="104">
                  <c:v>1.8021456256411437</c:v>
                </c:pt>
                <c:pt idx="105">
                  <c:v>1.7910532717322811</c:v>
                </c:pt>
                <c:pt idx="106">
                  <c:v>1.783988556111624</c:v>
                </c:pt>
                <c:pt idx="107">
                  <c:v>1.7780887864347408</c:v>
                </c:pt>
                <c:pt idx="108">
                  <c:v>1.7594919886933713</c:v>
                </c:pt>
                <c:pt idx="109">
                  <c:v>1.7365178748784378</c:v>
                </c:pt>
                <c:pt idx="110">
                  <c:v>1.7226943107688961</c:v>
                </c:pt>
                <c:pt idx="111">
                  <c:v>1.7207442875342711</c:v>
                </c:pt>
                <c:pt idx="112">
                  <c:v>1.7267951251142595</c:v>
                </c:pt>
                <c:pt idx="113">
                  <c:v>1.7278877318535462</c:v>
                </c:pt>
                <c:pt idx="114">
                  <c:v>1.7271875666706196</c:v>
                </c:pt>
                <c:pt idx="115">
                  <c:v>1.7293162102787036</c:v>
                </c:pt>
                <c:pt idx="116">
                  <c:v>1.7265945987043576</c:v>
                </c:pt>
                <c:pt idx="117">
                  <c:v>1.7183809976431743</c:v>
                </c:pt>
                <c:pt idx="118">
                  <c:v>1.7168987789007453</c:v>
                </c:pt>
                <c:pt idx="119">
                  <c:v>1.7229070859004529</c:v>
                </c:pt>
                <c:pt idx="120">
                  <c:v>1.7313629743700798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21"/>
                      <c:pt idx="0">
                        <c:v>415</c:v>
                      </c:pt>
                      <c:pt idx="1">
                        <c:v>415.25</c:v>
                      </c:pt>
                      <c:pt idx="2">
                        <c:v>415.5</c:v>
                      </c:pt>
                      <c:pt idx="3">
                        <c:v>415.75</c:v>
                      </c:pt>
                      <c:pt idx="4">
                        <c:v>416</c:v>
                      </c:pt>
                      <c:pt idx="5">
                        <c:v>416.25</c:v>
                      </c:pt>
                      <c:pt idx="6">
                        <c:v>416.5</c:v>
                      </c:pt>
                      <c:pt idx="7">
                        <c:v>416.75</c:v>
                      </c:pt>
                      <c:pt idx="8">
                        <c:v>417</c:v>
                      </c:pt>
                      <c:pt idx="9">
                        <c:v>417.25</c:v>
                      </c:pt>
                      <c:pt idx="10">
                        <c:v>417.5</c:v>
                      </c:pt>
                      <c:pt idx="11">
                        <c:v>417.75</c:v>
                      </c:pt>
                      <c:pt idx="12">
                        <c:v>418</c:v>
                      </c:pt>
                      <c:pt idx="13">
                        <c:v>418.25</c:v>
                      </c:pt>
                      <c:pt idx="14">
                        <c:v>418.5</c:v>
                      </c:pt>
                      <c:pt idx="15">
                        <c:v>418.75</c:v>
                      </c:pt>
                      <c:pt idx="16">
                        <c:v>419</c:v>
                      </c:pt>
                      <c:pt idx="17">
                        <c:v>419.25</c:v>
                      </c:pt>
                      <c:pt idx="18">
                        <c:v>419.5</c:v>
                      </c:pt>
                      <c:pt idx="19">
                        <c:v>419.75</c:v>
                      </c:pt>
                      <c:pt idx="20">
                        <c:v>420</c:v>
                      </c:pt>
                      <c:pt idx="21">
                        <c:v>420.25</c:v>
                      </c:pt>
                      <c:pt idx="22">
                        <c:v>420.5</c:v>
                      </c:pt>
                      <c:pt idx="23">
                        <c:v>420.75</c:v>
                      </c:pt>
                      <c:pt idx="24">
                        <c:v>421</c:v>
                      </c:pt>
                      <c:pt idx="25">
                        <c:v>421.25</c:v>
                      </c:pt>
                      <c:pt idx="26">
                        <c:v>421.5</c:v>
                      </c:pt>
                      <c:pt idx="27">
                        <c:v>421.75</c:v>
                      </c:pt>
                      <c:pt idx="28">
                        <c:v>422</c:v>
                      </c:pt>
                      <c:pt idx="29">
                        <c:v>422.25</c:v>
                      </c:pt>
                      <c:pt idx="30">
                        <c:v>422.5</c:v>
                      </c:pt>
                      <c:pt idx="31">
                        <c:v>422.75</c:v>
                      </c:pt>
                      <c:pt idx="32">
                        <c:v>423</c:v>
                      </c:pt>
                      <c:pt idx="33">
                        <c:v>423.25</c:v>
                      </c:pt>
                      <c:pt idx="34">
                        <c:v>423.5</c:v>
                      </c:pt>
                      <c:pt idx="35">
                        <c:v>423.75</c:v>
                      </c:pt>
                      <c:pt idx="36">
                        <c:v>424</c:v>
                      </c:pt>
                      <c:pt idx="37">
                        <c:v>424.25</c:v>
                      </c:pt>
                      <c:pt idx="38">
                        <c:v>424.5</c:v>
                      </c:pt>
                      <c:pt idx="39">
                        <c:v>424.75</c:v>
                      </c:pt>
                      <c:pt idx="40">
                        <c:v>425</c:v>
                      </c:pt>
                      <c:pt idx="41">
                        <c:v>425.25</c:v>
                      </c:pt>
                      <c:pt idx="42">
                        <c:v>425.5</c:v>
                      </c:pt>
                      <c:pt idx="43">
                        <c:v>425.75</c:v>
                      </c:pt>
                      <c:pt idx="44">
                        <c:v>426</c:v>
                      </c:pt>
                      <c:pt idx="45">
                        <c:v>426.25</c:v>
                      </c:pt>
                      <c:pt idx="46">
                        <c:v>426.5</c:v>
                      </c:pt>
                      <c:pt idx="47">
                        <c:v>426.75</c:v>
                      </c:pt>
                      <c:pt idx="48">
                        <c:v>427</c:v>
                      </c:pt>
                      <c:pt idx="49">
                        <c:v>427.25</c:v>
                      </c:pt>
                      <c:pt idx="50">
                        <c:v>427.5</c:v>
                      </c:pt>
                      <c:pt idx="51">
                        <c:v>427.75</c:v>
                      </c:pt>
                      <c:pt idx="52">
                        <c:v>428</c:v>
                      </c:pt>
                      <c:pt idx="53">
                        <c:v>428.25</c:v>
                      </c:pt>
                      <c:pt idx="54">
                        <c:v>428.5</c:v>
                      </c:pt>
                      <c:pt idx="55">
                        <c:v>428.75</c:v>
                      </c:pt>
                      <c:pt idx="56">
                        <c:v>429</c:v>
                      </c:pt>
                      <c:pt idx="57">
                        <c:v>429.25</c:v>
                      </c:pt>
                      <c:pt idx="58">
                        <c:v>429.5</c:v>
                      </c:pt>
                      <c:pt idx="59">
                        <c:v>429.75</c:v>
                      </c:pt>
                      <c:pt idx="60">
                        <c:v>430</c:v>
                      </c:pt>
                      <c:pt idx="61">
                        <c:v>430.25</c:v>
                      </c:pt>
                      <c:pt idx="62">
                        <c:v>430.5</c:v>
                      </c:pt>
                      <c:pt idx="63">
                        <c:v>430.75</c:v>
                      </c:pt>
                      <c:pt idx="64">
                        <c:v>431</c:v>
                      </c:pt>
                      <c:pt idx="65">
                        <c:v>431.25</c:v>
                      </c:pt>
                      <c:pt idx="66">
                        <c:v>431.5</c:v>
                      </c:pt>
                      <c:pt idx="67">
                        <c:v>431.75</c:v>
                      </c:pt>
                      <c:pt idx="68">
                        <c:v>432</c:v>
                      </c:pt>
                      <c:pt idx="69">
                        <c:v>432.25</c:v>
                      </c:pt>
                      <c:pt idx="70">
                        <c:v>432.5</c:v>
                      </c:pt>
                      <c:pt idx="71">
                        <c:v>432.75</c:v>
                      </c:pt>
                      <c:pt idx="72">
                        <c:v>433</c:v>
                      </c:pt>
                      <c:pt idx="73">
                        <c:v>433.25</c:v>
                      </c:pt>
                      <c:pt idx="74">
                        <c:v>433.5</c:v>
                      </c:pt>
                      <c:pt idx="75">
                        <c:v>433.75</c:v>
                      </c:pt>
                      <c:pt idx="76">
                        <c:v>434</c:v>
                      </c:pt>
                      <c:pt idx="77">
                        <c:v>434.25</c:v>
                      </c:pt>
                      <c:pt idx="78">
                        <c:v>434.5</c:v>
                      </c:pt>
                      <c:pt idx="79">
                        <c:v>434.75</c:v>
                      </c:pt>
                      <c:pt idx="80">
                        <c:v>435</c:v>
                      </c:pt>
                      <c:pt idx="81">
                        <c:v>435.25</c:v>
                      </c:pt>
                      <c:pt idx="82">
                        <c:v>435.5</c:v>
                      </c:pt>
                      <c:pt idx="83">
                        <c:v>435.75</c:v>
                      </c:pt>
                      <c:pt idx="84">
                        <c:v>436</c:v>
                      </c:pt>
                      <c:pt idx="85">
                        <c:v>436.25</c:v>
                      </c:pt>
                      <c:pt idx="86">
                        <c:v>436.5</c:v>
                      </c:pt>
                      <c:pt idx="87">
                        <c:v>436.75</c:v>
                      </c:pt>
                      <c:pt idx="88">
                        <c:v>437</c:v>
                      </c:pt>
                      <c:pt idx="89">
                        <c:v>437.25</c:v>
                      </c:pt>
                      <c:pt idx="90">
                        <c:v>437.5</c:v>
                      </c:pt>
                      <c:pt idx="91">
                        <c:v>437.75</c:v>
                      </c:pt>
                      <c:pt idx="92">
                        <c:v>438</c:v>
                      </c:pt>
                      <c:pt idx="93">
                        <c:v>438.25</c:v>
                      </c:pt>
                      <c:pt idx="94">
                        <c:v>438.5</c:v>
                      </c:pt>
                      <c:pt idx="95">
                        <c:v>438.75</c:v>
                      </c:pt>
                      <c:pt idx="96">
                        <c:v>439</c:v>
                      </c:pt>
                      <c:pt idx="97">
                        <c:v>439.25</c:v>
                      </c:pt>
                      <c:pt idx="98">
                        <c:v>439.5</c:v>
                      </c:pt>
                      <c:pt idx="99">
                        <c:v>439.75</c:v>
                      </c:pt>
                      <c:pt idx="100">
                        <c:v>440</c:v>
                      </c:pt>
                      <c:pt idx="101">
                        <c:v>440.25</c:v>
                      </c:pt>
                      <c:pt idx="102">
                        <c:v>440.5</c:v>
                      </c:pt>
                      <c:pt idx="103">
                        <c:v>440.75</c:v>
                      </c:pt>
                      <c:pt idx="104">
                        <c:v>441</c:v>
                      </c:pt>
                      <c:pt idx="105">
                        <c:v>441.25</c:v>
                      </c:pt>
                      <c:pt idx="106">
                        <c:v>441.5</c:v>
                      </c:pt>
                      <c:pt idx="107">
                        <c:v>441.75</c:v>
                      </c:pt>
                      <c:pt idx="108">
                        <c:v>442</c:v>
                      </c:pt>
                      <c:pt idx="109">
                        <c:v>442.25</c:v>
                      </c:pt>
                      <c:pt idx="110">
                        <c:v>442.5</c:v>
                      </c:pt>
                      <c:pt idx="111">
                        <c:v>442.75</c:v>
                      </c:pt>
                      <c:pt idx="112">
                        <c:v>443</c:v>
                      </c:pt>
                      <c:pt idx="113">
                        <c:v>443.25</c:v>
                      </c:pt>
                      <c:pt idx="114">
                        <c:v>443.5</c:v>
                      </c:pt>
                      <c:pt idx="115">
                        <c:v>443.75</c:v>
                      </c:pt>
                      <c:pt idx="116">
                        <c:v>444</c:v>
                      </c:pt>
                      <c:pt idx="117">
                        <c:v>444.25</c:v>
                      </c:pt>
                      <c:pt idx="118">
                        <c:v>444.5</c:v>
                      </c:pt>
                      <c:pt idx="119">
                        <c:v>444.75</c:v>
                      </c:pt>
                      <c:pt idx="120">
                        <c:v>445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10591248"/>
        <c:axId val="-1710587984"/>
      </c:lineChart>
      <c:catAx>
        <c:axId val="-171059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710587984"/>
        <c:crosses val="autoZero"/>
        <c:auto val="1"/>
        <c:lblAlgn val="ctr"/>
        <c:lblOffset val="100"/>
        <c:noMultiLvlLbl val="0"/>
      </c:catAx>
      <c:valAx>
        <c:axId val="-171058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71059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409574</xdr:colOff>
      <xdr:row>5</xdr:row>
      <xdr:rowOff>38099</xdr:rowOff>
    </xdr:from>
    <xdr:to>
      <xdr:col>8</xdr:col>
      <xdr:colOff>523874</xdr:colOff>
      <xdr:row>22</xdr:row>
      <xdr:rowOff>142875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85725</xdr:colOff>
      <xdr:row>5</xdr:row>
      <xdr:rowOff>95249</xdr:rowOff>
    </xdr:from>
    <xdr:to>
      <xdr:col>23</xdr:col>
      <xdr:colOff>85725</xdr:colOff>
      <xdr:row>22</xdr:row>
      <xdr:rowOff>180974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Q34"/>
  <sheetViews>
    <sheetView tabSelected="1" zoomScale="85" zoomScaleNormal="85" workbookViewId="0">
      <selection activeCell="K14" sqref="K14"/>
    </sheetView>
  </sheetViews>
  <sheetFormatPr defaultRowHeight="16.5" x14ac:dyDescent="0.3"/>
  <cols>
    <col min="1" max="1" width="17.625" bestFit="1" customWidth="1"/>
    <col min="2" max="2" width="12.5" bestFit="1" customWidth="1"/>
    <col min="3" max="4" width="14.875" customWidth="1"/>
    <col min="5" max="5" width="14.75" bestFit="1" customWidth="1"/>
    <col min="6" max="6" width="8.5" bestFit="1" customWidth="1"/>
    <col min="7" max="9" width="9.875" customWidth="1"/>
    <col min="10" max="10" width="10.5" customWidth="1"/>
    <col min="11" max="11" width="11.25" customWidth="1"/>
    <col min="12" max="21" width="9.875" customWidth="1"/>
  </cols>
  <sheetData>
    <row r="2" spans="1:13" x14ac:dyDescent="0.3">
      <c r="A2" t="s">
        <v>85</v>
      </c>
    </row>
    <row r="4" spans="1:13" x14ac:dyDescent="0.3">
      <c r="A4" s="2" t="s">
        <v>11</v>
      </c>
      <c r="E4" s="2" t="s">
        <v>50</v>
      </c>
      <c r="F4" s="22"/>
      <c r="H4" s="2" t="s">
        <v>10</v>
      </c>
    </row>
    <row r="5" spans="1:13" x14ac:dyDescent="0.3">
      <c r="A5" s="5" t="s">
        <v>0</v>
      </c>
      <c r="B5" s="5" t="s">
        <v>4</v>
      </c>
      <c r="C5" s="5" t="s">
        <v>7</v>
      </c>
      <c r="E5" t="s">
        <v>47</v>
      </c>
      <c r="F5" s="23">
        <v>10000</v>
      </c>
      <c r="H5" s="44" t="s">
        <v>12</v>
      </c>
      <c r="I5" s="44" t="s">
        <v>13</v>
      </c>
      <c r="J5" s="44" t="s">
        <v>14</v>
      </c>
      <c r="K5" s="44" t="s">
        <v>15</v>
      </c>
      <c r="L5" s="44" t="s">
        <v>82</v>
      </c>
      <c r="M5" s="44" t="s">
        <v>81</v>
      </c>
    </row>
    <row r="6" spans="1:13" x14ac:dyDescent="0.3">
      <c r="A6" s="44" t="s">
        <v>1</v>
      </c>
      <c r="B6" s="44" t="s">
        <v>5</v>
      </c>
      <c r="C6" s="44" t="s">
        <v>8</v>
      </c>
      <c r="E6" t="s">
        <v>75</v>
      </c>
      <c r="H6" s="43">
        <v>430</v>
      </c>
      <c r="I6" s="43">
        <v>430</v>
      </c>
      <c r="J6" s="43">
        <v>1.2E-2</v>
      </c>
      <c r="K6" s="43">
        <v>0</v>
      </c>
      <c r="L6" s="43">
        <v>0.20945</v>
      </c>
      <c r="M6" s="43">
        <v>0.5</v>
      </c>
    </row>
    <row r="7" spans="1:13" x14ac:dyDescent="0.3">
      <c r="A7" s="44" t="s">
        <v>2</v>
      </c>
      <c r="B7" s="44" t="s">
        <v>6</v>
      </c>
      <c r="C7" s="44" t="s">
        <v>9</v>
      </c>
    </row>
    <row r="8" spans="1:13" x14ac:dyDescent="0.3">
      <c r="A8" s="44" t="s">
        <v>3</v>
      </c>
      <c r="B8" s="44"/>
      <c r="C8" s="44"/>
      <c r="E8" t="s">
        <v>48</v>
      </c>
      <c r="F8" s="3">
        <v>5.0000000000000001E-3</v>
      </c>
    </row>
    <row r="9" spans="1:13" x14ac:dyDescent="0.3">
      <c r="A9" s="5"/>
      <c r="B9" s="5"/>
      <c r="C9" s="5"/>
      <c r="E9" t="s">
        <v>49</v>
      </c>
      <c r="F9">
        <v>1.25E-3</v>
      </c>
      <c r="I9" s="1"/>
    </row>
    <row r="10" spans="1:13" x14ac:dyDescent="0.3">
      <c r="E10" t="s">
        <v>76</v>
      </c>
    </row>
    <row r="11" spans="1:13" ht="17.25" thickBot="1" x14ac:dyDescent="0.35"/>
    <row r="12" spans="1:13" x14ac:dyDescent="0.3">
      <c r="A12" s="33" t="s">
        <v>83</v>
      </c>
      <c r="B12" s="34"/>
      <c r="C12" s="52" t="s">
        <v>17</v>
      </c>
      <c r="D12" s="52"/>
      <c r="E12" s="53"/>
      <c r="F12" s="8"/>
    </row>
    <row r="13" spans="1:13" s="5" customFormat="1" x14ac:dyDescent="0.3">
      <c r="A13" s="7"/>
      <c r="B13" s="8"/>
      <c r="C13" s="8" t="s">
        <v>1</v>
      </c>
      <c r="D13" s="8" t="s">
        <v>2</v>
      </c>
      <c r="E13" s="9" t="s">
        <v>3</v>
      </c>
      <c r="F13" s="8"/>
    </row>
    <row r="14" spans="1:13" x14ac:dyDescent="0.3">
      <c r="A14" s="10" t="s">
        <v>5</v>
      </c>
      <c r="B14" s="11" t="s">
        <v>8</v>
      </c>
      <c r="C14" s="12">
        <f>getPrice(A6,B6,C6,$H$6,$I$6,$J$6,$K$6,$L$6,$M$6)</f>
        <v>26.614186128240021</v>
      </c>
      <c r="D14" s="13">
        <f>getPrice(D13,A14,B14,H6,I6,J6,K6,L6,M6)</f>
        <v>27.096188350431557</v>
      </c>
      <c r="E14" s="14">
        <f>getPrice(A8,A14,B14,H6,I6,J6,K6,L6,M6)</f>
        <v>27.803716780639846</v>
      </c>
      <c r="F14" s="12"/>
    </row>
    <row r="15" spans="1:13" x14ac:dyDescent="0.3">
      <c r="A15" s="10"/>
      <c r="B15" s="11"/>
      <c r="C15" s="12"/>
      <c r="D15" s="15">
        <f>(C14-D14)/C14</f>
        <v>-1.8110725605848553E-2</v>
      </c>
      <c r="E15" s="16">
        <f>(C14-E14)/D14</f>
        <v>-4.3900294647194499E-2</v>
      </c>
      <c r="F15" s="15"/>
    </row>
    <row r="16" spans="1:13" x14ac:dyDescent="0.3">
      <c r="A16" s="10" t="s">
        <v>18</v>
      </c>
      <c r="B16" s="11" t="s">
        <v>19</v>
      </c>
      <c r="C16" s="12">
        <f>getPrice(A6,A16,B16,H6,I6,J6,K6,L6,M6)</f>
        <v>24.041910671432163</v>
      </c>
      <c r="D16" s="13">
        <f>getPrice(D13,A16,B16,H6,I6,J6,K6,L6,M6)</f>
        <v>24.352388445531943</v>
      </c>
      <c r="E16" s="14">
        <f>getPrice(E13,A16,B16,H6,I6,J6,K6,L6,M6)</f>
        <v>23.070646920809466</v>
      </c>
      <c r="F16" s="12"/>
    </row>
    <row r="17" spans="1:17" ht="17.25" thickBot="1" x14ac:dyDescent="0.35">
      <c r="A17" s="17"/>
      <c r="B17" s="18"/>
      <c r="C17" s="19"/>
      <c r="D17" s="20">
        <f>(C16-D16)/C16</f>
        <v>-1.2914022447837563E-2</v>
      </c>
      <c r="E17" s="21">
        <f>(C16-E16)/D16</f>
        <v>3.9883716243894737E-2</v>
      </c>
      <c r="F17" s="15"/>
    </row>
    <row r="18" spans="1:17" x14ac:dyDescent="0.3">
      <c r="C18" s="4"/>
    </row>
    <row r="19" spans="1:17" x14ac:dyDescent="0.3">
      <c r="A19" t="s">
        <v>20</v>
      </c>
      <c r="B19" t="s">
        <v>21</v>
      </c>
      <c r="C19" s="4">
        <f>getPrice(A6,A19,B19,H6,I6,J6,K6,L6,M6)</f>
        <v>0.48371117135185276</v>
      </c>
      <c r="D19" s="4">
        <f>getPrice(D13,A19,B19,H6,I6,J6,K6,L6,M6)</f>
        <v>0.48199931076986813</v>
      </c>
      <c r="E19" s="4">
        <f>getPrice(E13,A19,B19,H6,I6,J6,K6,L6,M6)</f>
        <v>0.49714872422846923</v>
      </c>
    </row>
    <row r="20" spans="1:17" x14ac:dyDescent="0.3">
      <c r="A20" t="s">
        <v>46</v>
      </c>
      <c r="B20" t="s">
        <v>22</v>
      </c>
      <c r="C20" s="4">
        <f>getPrice(A6,A20,B20,H6,I6,J6,K6,L6,M6)</f>
        <v>0.51030679270208246</v>
      </c>
      <c r="D20" s="4">
        <f>getPrice(D13,A20,B20,H6,I6,J6,K6,L6,M6)</f>
        <v>0.51201865328430995</v>
      </c>
      <c r="E20" s="4">
        <f>getPrice(E13,A20,B20,H6,I6,J6,K6,L6,M6)</f>
        <v>0.49686926219072242</v>
      </c>
    </row>
    <row r="22" spans="1:17" ht="17.25" thickBot="1" x14ac:dyDescent="0.35"/>
    <row r="23" spans="1:17" x14ac:dyDescent="0.3">
      <c r="A23" s="33" t="s">
        <v>84</v>
      </c>
      <c r="B23" s="6"/>
      <c r="C23" s="52" t="s">
        <v>55</v>
      </c>
      <c r="D23" s="52"/>
      <c r="E23" s="52"/>
      <c r="F23" s="52" t="s">
        <v>54</v>
      </c>
      <c r="G23" s="52"/>
      <c r="H23" s="52"/>
      <c r="I23" s="52" t="s">
        <v>53</v>
      </c>
      <c r="J23" s="52"/>
      <c r="K23" s="52"/>
      <c r="L23" s="52" t="s">
        <v>51</v>
      </c>
      <c r="M23" s="52"/>
      <c r="N23" s="52"/>
      <c r="O23" s="52" t="s">
        <v>52</v>
      </c>
      <c r="P23" s="52"/>
      <c r="Q23" s="53"/>
    </row>
    <row r="24" spans="1:17" x14ac:dyDescent="0.3">
      <c r="A24" s="10"/>
      <c r="B24" s="11"/>
      <c r="C24" s="8" t="s">
        <v>1</v>
      </c>
      <c r="D24" s="8" t="s">
        <v>2</v>
      </c>
      <c r="E24" s="8" t="s">
        <v>3</v>
      </c>
      <c r="F24" s="8" t="s">
        <v>1</v>
      </c>
      <c r="G24" s="8" t="s">
        <v>2</v>
      </c>
      <c r="H24" s="8" t="s">
        <v>3</v>
      </c>
      <c r="I24" s="8" t="s">
        <v>1</v>
      </c>
      <c r="J24" s="8" t="s">
        <v>2</v>
      </c>
      <c r="K24" s="8" t="s">
        <v>3</v>
      </c>
      <c r="L24" s="8" t="s">
        <v>1</v>
      </c>
      <c r="M24" s="8" t="s">
        <v>2</v>
      </c>
      <c r="N24" s="8" t="s">
        <v>3</v>
      </c>
      <c r="O24" s="8" t="s">
        <v>1</v>
      </c>
      <c r="P24" s="8" t="s">
        <v>2</v>
      </c>
      <c r="Q24" s="9" t="s">
        <v>3</v>
      </c>
    </row>
    <row r="25" spans="1:17" x14ac:dyDescent="0.3">
      <c r="A25" s="10" t="s">
        <v>5</v>
      </c>
      <c r="B25" s="11" t="s">
        <v>8</v>
      </c>
      <c r="C25" s="45">
        <f>getDelta(C24,$A$14,$B$14,$H$6,$I$6,$J$6,$K$6,$L$6,$M$6)</f>
        <v>0.54560462746403882</v>
      </c>
      <c r="D25" s="45">
        <f>getDelta(D24,$A$14,$B$14,$H$6,$I$6,$J$6,$K$6,$L$6,$M$6)</f>
        <v>0.54562368806965167</v>
      </c>
      <c r="E25" s="45">
        <f>getDelta(E24,$A$14,$B$14,$H$6,$I$6,$J$6,$K$6,$L$6,$M$6)</f>
        <v>0.5536424115834373</v>
      </c>
      <c r="F25" s="45">
        <f>getGamma(F24,$A$14,$B$14,$H$6,$I$6,$J$6,$K$6,$L$6,$M$6)</f>
        <v>8.5673048888080475E-3</v>
      </c>
      <c r="G25" s="45">
        <f>getGamma(G24,$A$14,$B$14,$H$6,$I$6,$J$6,$K$6,$L$6,$M$6)</f>
        <v>6.6962576949613764E-3</v>
      </c>
      <c r="H25" s="45">
        <f>getGamma(H24,$A$14,$B$14,$H$6,$I$6,$J$6,$K$6,$L$6,$M$6)</f>
        <v>-9.1083374124673808E-3</v>
      </c>
      <c r="I25" s="45">
        <f>getVega(I24,$A$14,$B$14,$H$6,$I$6,$J$6,$K$6,$L$6,$M$6)</f>
        <v>165.89431472843023</v>
      </c>
      <c r="J25" s="45">
        <f>getVega(J24,$A$14,$B$14,$H$6,$I$6,$J$6,$K$6,$L$6,$M$6)</f>
        <v>123.33608649357596</v>
      </c>
      <c r="K25" s="45">
        <f>getVega(K24,$A$14,$B$14,$H$6,$I$6,$J$6,$K$6,$L$6,$M$6)</f>
        <v>120.55523513404242</v>
      </c>
      <c r="L25" s="45">
        <f>getTheta(L24,$A$14,$B$14,$H$6,$I$6,$J$6,$K$6,$L$6,$M$6)</f>
        <v>-27.285338932492689</v>
      </c>
      <c r="M25" s="45">
        <f>getTheta(M24,$A$14,$B$14,$H$6,$I$6,$J$6,$K$6,$L$6,$M$6)</f>
        <v>-28.320183077070737</v>
      </c>
      <c r="N25" s="45">
        <f>getTheta(N24,$A$14,$B$14,$H$6,$I$6,$J$6,$K$6,$L$6,$M$6)</f>
        <v>-27.81679764122913</v>
      </c>
      <c r="O25" s="45">
        <f>getRho(O24,$A$14,$B$14,$H$6,$I$6,$J$6,$K$6,$L$6,$M$6)</f>
        <v>103.99790184064834</v>
      </c>
      <c r="P25" s="45">
        <f>getRho(P24,$A$14,$B$14,$H$6,$I$6,$J$6,$K$6,$L$6,$M$6)</f>
        <v>103.61772920125745</v>
      </c>
      <c r="Q25" s="46">
        <f>getRho(Q24,$A$14,$B$14,$H$6,$I$6,$J$6,$K$6,$L$6,$M$6)</f>
        <v>106.87524253377489</v>
      </c>
    </row>
    <row r="26" spans="1:17" x14ac:dyDescent="0.3">
      <c r="A26" s="10" t="s">
        <v>5</v>
      </c>
      <c r="B26" s="11" t="s">
        <v>9</v>
      </c>
      <c r="C26" s="45">
        <f>getDelta(C24,$A$16,$B$16,$H$6,$I$6,$J$6,$K$6,$L$6,$M$6)</f>
        <v>-0.45439537253596118</v>
      </c>
      <c r="D26" s="45">
        <f>getDelta(D24,$A$16,$B$16,$H$6,$I$6,$J$6,$K$6,$L$6,$M$6)</f>
        <v>-0.45477520599566917</v>
      </c>
      <c r="E26" s="45">
        <f>getDelta(E24,$A$16,$B$16,$H$6,$I$6,$J$6,$K$6,$L$6,$M$6)</f>
        <v>-0.43969637537456147</v>
      </c>
      <c r="F26" s="45">
        <f>getGamma(F24,$A$16,$B$16,$H$6,$I$6,$J$6,$K$6,$L$6,$M$6)</f>
        <v>8.5673048888080475E-3</v>
      </c>
      <c r="G26" s="45">
        <f>getGamma(G24,$A$16,$B$16,$H$6,$I$6,$J$6,$K$6,$L$6,$M$6)</f>
        <v>6.6962576949586858E-3</v>
      </c>
      <c r="H26" s="45">
        <f>getGamma(H24,$A$16,$B$16,$H$6,$I$6,$J$6,$K$6,$L$6,$M$6)</f>
        <v>1.8069194378445341E-2</v>
      </c>
      <c r="I26" s="45">
        <f>getVega(I24,$A$16,$B$16,$H$6,$I$6,$J$6,$K$6,$L$6,$M$6)</f>
        <v>165.89431472843023</v>
      </c>
      <c r="J26" s="45">
        <f>getVega(J24,$A$16,$B$16,$H$6,$I$6,$J$6,$K$6,$L$6,$M$6)</f>
        <v>121.69998522355793</v>
      </c>
      <c r="K26" s="45">
        <f>getVega(K24,$A$16,$B$16,$H$6,$I$6,$J$6,$K$6,$L$6,$M$6)</f>
        <v>120.55523513404793</v>
      </c>
      <c r="L26" s="45">
        <f>getTheta(L24,$A$16,$B$16,$H$6,$I$6,$J$6,$K$6,$L$6,$M$6)</f>
        <v>-23.195184303014823</v>
      </c>
      <c r="M26" s="45">
        <f>getTheta(M24,$A$16,$B$16,$H$6,$I$6,$J$6,$K$6,$L$6,$M$6)</f>
        <v>-22.848364088510209</v>
      </c>
      <c r="N26" s="45">
        <f>getTheta(N24,$A$16,$B$16,$H$6,$I$6,$J$6,$K$6,$L$6,$M$6)</f>
        <v>-22.687700217431939</v>
      </c>
      <c r="O26" s="45">
        <f>getRho(O24,$A$16,$B$16,$H$6,$I$6,$J$6,$K$6,$L$6,$M$6)</f>
        <v>-109.71596043094773</v>
      </c>
      <c r="P26" s="45">
        <f>getRho(P24,$A$16,$B$16,$H$6,$I$6,$J$6,$K$6,$L$6,$M$6)</f>
        <v>-110.09613315968281</v>
      </c>
      <c r="Q26" s="46">
        <f>getRho(Q24,$A$16,$B$16,$H$6,$I$6,$J$6,$K$6,$L$6,$M$6)</f>
        <v>-106.83702179601795</v>
      </c>
    </row>
    <row r="27" spans="1:17" x14ac:dyDescent="0.3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38"/>
    </row>
    <row r="28" spans="1:17" x14ac:dyDescent="0.3">
      <c r="A28" s="10" t="s">
        <v>20</v>
      </c>
      <c r="B28" s="11" t="s">
        <v>21</v>
      </c>
      <c r="C28" s="45"/>
      <c r="D28" s="60">
        <f>getDelta(D24,$A$19,$B$19,$H$6,$I$6,$J$6,$K$6,$L$6,$M$6)</f>
        <v>6.6287128184323056E-3</v>
      </c>
      <c r="E28" s="60">
        <f>getDelta(E24,$A$19,$B$19,$H$6,$I$6,$J$6,$K$6,$L$6,$M$6)</f>
        <v>6.2612639233751528E-3</v>
      </c>
      <c r="F28" s="60"/>
      <c r="G28" s="60">
        <f ca="1">getGamma(G24,$A$19,$B$19,$H$6,$I$6,$J$6,$K$6,$L$6,$M$6)</f>
        <v>1.7471922029078701E-4</v>
      </c>
      <c r="H28" s="60">
        <f>getGamma(H24,$A$19,$B$19,$H$6,$I$6,$J$6,$K$6,$L$6,$M$6)</f>
        <v>1.4590069372125687E-5</v>
      </c>
      <c r="I28" s="60"/>
      <c r="J28" s="60">
        <f>getVega(J24,$A$19,$B$19,$H$6,$I$6,$J$6,$K$6,$L$6,$M$6)</f>
        <v>123.33608649357596</v>
      </c>
      <c r="K28" s="60">
        <f>getVega(K24,$A$19,$B$19,$H$6,$I$6,$J$6,$K$6,$L$6,$M$6)</f>
        <v>120.55523513404242</v>
      </c>
      <c r="L28" s="60"/>
      <c r="M28" s="60">
        <f>getTheta(M24,$A$19,$B$19,$H$6,$I$6,$J$6,$K$6,$L$6,$M$6)</f>
        <v>5.7839935035941537E-3</v>
      </c>
      <c r="N28" s="60">
        <f>getTheta(N24,$A$19,$B$19,$H$6,$I$6,$J$6,$K$6,$L$6,$M$6)</f>
        <v>3.2724907604864129E-2</v>
      </c>
      <c r="O28" s="60"/>
      <c r="P28" s="60">
        <f>getRho(P24,$A$19,$B$19,$H$6,$I$6,$J$6,$K$6,$L$6,$M$6)</f>
        <v>0.50455109386199348</v>
      </c>
      <c r="Q28" s="61">
        <f>getRho(Q24,$A$19,$B$19,$H$6,$I$6,$J$6,$K$6,$L$6,$M$6)</f>
        <v>1.0899959682536542</v>
      </c>
    </row>
    <row r="29" spans="1:17" ht="17.25" thickBot="1" x14ac:dyDescent="0.35">
      <c r="A29" s="17" t="s">
        <v>46</v>
      </c>
      <c r="B29" s="18" t="s">
        <v>9</v>
      </c>
      <c r="C29" s="47"/>
      <c r="D29" s="62">
        <f>getDelta(D24,$A$20,$B$20,$H$6,$I$6,$J$6,$K$6,$L$6,$M$6)</f>
        <v>-6.6287128184322995E-3</v>
      </c>
      <c r="E29" s="62">
        <f>getDelta(E24,$A$20,$B$20,$H$6,$I$6,$J$6,$K$6,$L$6,$M$6)</f>
        <v>-6.261263923375282E-3</v>
      </c>
      <c r="F29" s="62"/>
      <c r="G29" s="62">
        <f ca="1">getGamma(G24,$A$20,$B$20,$H$6,$I$6,$J$6,$K$6,$L$6,$M$6)</f>
        <v>-1.7471922029078701E-4</v>
      </c>
      <c r="H29" s="62">
        <f>getGamma(H24,$A$20,$B$20,$H$6,$I$6,$J$6,$K$6,$L$6,$M$6)</f>
        <v>-1.459006937203562E-5</v>
      </c>
      <c r="I29" s="62"/>
      <c r="J29" s="62">
        <f>getVega(J24,$A$20,$B$20,$H$6,$I$6,$J$6,$K$6,$L$6,$M$6)</f>
        <v>121.69998522355793</v>
      </c>
      <c r="K29" s="62">
        <f>getVega(K24,$A$20,$B$20,$H$6,$I$6,$J$6,$K$6,$L$6,$M$6)</f>
        <v>120.55523513404793</v>
      </c>
      <c r="L29" s="62"/>
      <c r="M29" s="62">
        <f>getTheta(M24,$A$20,$B$20,$H$6,$I$6,$J$6,$K$6,$L$6,$M$6)</f>
        <v>6.1442258414423634E-3</v>
      </c>
      <c r="N29" s="62">
        <f>getTheta(N24,$A$20,$B$20,$H$6,$I$6,$J$6,$K$6,$L$6,$M$6)</f>
        <v>-2.0796773628761756E-2</v>
      </c>
      <c r="O29" s="62"/>
      <c r="P29" s="62">
        <f>getRho(P24,$A$20,$B$20,$H$6,$I$6,$J$6,$K$6,$L$6,$M$6)</f>
        <v>-1.0015600768298327</v>
      </c>
      <c r="Q29" s="63">
        <f>getRho(Q24,$A$20,$B$20,$H$6,$I$6,$J$6,$K$6,$L$6,$M$6)</f>
        <v>-1.587001233878671</v>
      </c>
    </row>
    <row r="30" spans="1:17" ht="17.25" thickBot="1" x14ac:dyDescent="0.35"/>
    <row r="31" spans="1:17" x14ac:dyDescent="0.3">
      <c r="A31" s="54" t="s">
        <v>74</v>
      </c>
      <c r="B31" s="55"/>
      <c r="C31" s="56"/>
    </row>
    <row r="32" spans="1:17" x14ac:dyDescent="0.3">
      <c r="A32" s="10"/>
      <c r="B32" s="11" t="s">
        <v>43</v>
      </c>
      <c r="C32" s="48" t="s">
        <v>45</v>
      </c>
    </row>
    <row r="33" spans="1:3" x14ac:dyDescent="0.3">
      <c r="A33" s="10" t="s">
        <v>44</v>
      </c>
      <c r="B33" s="11">
        <v>27.5</v>
      </c>
      <c r="C33" s="49">
        <f>getImpvol(B33, 0.05, 0.00001, C6,H6,I6,J6,K6,L6,M6)</f>
        <v>0.21680120681740733</v>
      </c>
    </row>
    <row r="34" spans="1:3" ht="17.25" thickBot="1" x14ac:dyDescent="0.35">
      <c r="A34" s="17"/>
      <c r="B34" s="50" t="s">
        <v>56</v>
      </c>
      <c r="C34" s="51">
        <f>L6-C33</f>
        <v>-7.3512068174073353E-3</v>
      </c>
    </row>
  </sheetData>
  <mergeCells count="7">
    <mergeCell ref="L23:N23"/>
    <mergeCell ref="O23:Q23"/>
    <mergeCell ref="A31:C31"/>
    <mergeCell ref="C12:E12"/>
    <mergeCell ref="C23:E23"/>
    <mergeCell ref="F23:H23"/>
    <mergeCell ref="I23:K2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B146"/>
  <sheetViews>
    <sheetView topLeftCell="B6" zoomScale="115" zoomScaleNormal="115" workbookViewId="0">
      <selection activeCell="J19" sqref="J19"/>
    </sheetView>
  </sheetViews>
  <sheetFormatPr defaultRowHeight="16.5" x14ac:dyDescent="0.3"/>
  <cols>
    <col min="2" max="2" width="10.25" bestFit="1" customWidth="1"/>
    <col min="3" max="3" width="12" customWidth="1"/>
    <col min="6" max="6" width="14.375" bestFit="1" customWidth="1"/>
    <col min="7" max="7" width="16.75" bestFit="1" customWidth="1"/>
    <col min="8" max="8" width="7" customWidth="1"/>
    <col min="10" max="10" width="11.375" bestFit="1" customWidth="1"/>
    <col min="13" max="13" width="9.375" customWidth="1"/>
    <col min="14" max="14" width="14.375" customWidth="1"/>
    <col min="15" max="15" width="9" style="31"/>
  </cols>
  <sheetData>
    <row r="1" spans="2:28" x14ac:dyDescent="0.3">
      <c r="C1" t="s">
        <v>5</v>
      </c>
      <c r="Q1" t="s">
        <v>5</v>
      </c>
    </row>
    <row r="2" spans="2:28" x14ac:dyDescent="0.3">
      <c r="B2" t="s">
        <v>42</v>
      </c>
      <c r="C2" t="s">
        <v>40</v>
      </c>
      <c r="D2" t="s">
        <v>41</v>
      </c>
      <c r="J2" t="s">
        <v>31</v>
      </c>
      <c r="P2" t="s">
        <v>2</v>
      </c>
      <c r="Q2" t="s">
        <v>40</v>
      </c>
      <c r="R2" t="s">
        <v>21</v>
      </c>
      <c r="X2" t="s">
        <v>31</v>
      </c>
    </row>
    <row r="3" spans="2:28" x14ac:dyDescent="0.3">
      <c r="B3" t="s">
        <v>28</v>
      </c>
      <c r="C3">
        <v>430</v>
      </c>
      <c r="D3">
        <v>1.4999999999999999E-2</v>
      </c>
      <c r="E3">
        <v>0</v>
      </c>
      <c r="F3">
        <v>0.2094</v>
      </c>
      <c r="G3">
        <v>1E-4</v>
      </c>
      <c r="J3" t="s">
        <v>32</v>
      </c>
      <c r="K3">
        <v>429.75</v>
      </c>
      <c r="M3" t="s">
        <v>67</v>
      </c>
      <c r="N3">
        <v>430.25</v>
      </c>
      <c r="P3" t="s">
        <v>13</v>
      </c>
      <c r="Q3">
        <v>430</v>
      </c>
      <c r="R3">
        <v>1.4999999999999999E-2</v>
      </c>
      <c r="S3">
        <v>0</v>
      </c>
      <c r="T3">
        <v>0.2094</v>
      </c>
      <c r="U3">
        <v>0.25</v>
      </c>
      <c r="X3" t="s">
        <v>32</v>
      </c>
      <c r="Y3">
        <v>429.75</v>
      </c>
      <c r="AA3" t="s">
        <v>13</v>
      </c>
      <c r="AB3">
        <v>430.25</v>
      </c>
    </row>
    <row r="4" spans="2:28" x14ac:dyDescent="0.3">
      <c r="B4" t="s">
        <v>39</v>
      </c>
      <c r="J4" t="s">
        <v>39</v>
      </c>
      <c r="K4">
        <v>0.16700000000000001</v>
      </c>
      <c r="P4" t="s">
        <v>39</v>
      </c>
      <c r="X4" t="s">
        <v>39</v>
      </c>
      <c r="Y4">
        <v>0.16700000000000001</v>
      </c>
    </row>
    <row r="6" spans="2:28" ht="17.25" thickBot="1" x14ac:dyDescent="0.35"/>
    <row r="7" spans="2:28" ht="16.5" customHeight="1" x14ac:dyDescent="0.3">
      <c r="J7" s="57" t="s">
        <v>68</v>
      </c>
      <c r="K7" s="58"/>
      <c r="L7" s="58"/>
      <c r="M7" s="58"/>
      <c r="N7" s="58"/>
      <c r="O7" s="35"/>
    </row>
    <row r="8" spans="2:28" x14ac:dyDescent="0.3">
      <c r="J8" s="36"/>
      <c r="K8" s="37"/>
      <c r="L8" s="37"/>
      <c r="M8" s="37"/>
      <c r="N8" s="37"/>
      <c r="O8" s="38"/>
    </row>
    <row r="9" spans="2:28" x14ac:dyDescent="0.3">
      <c r="J9" s="10"/>
      <c r="K9" s="37"/>
      <c r="L9" s="37"/>
      <c r="M9" s="37"/>
      <c r="N9" s="37"/>
      <c r="O9" s="38"/>
    </row>
    <row r="10" spans="2:28" x14ac:dyDescent="0.3">
      <c r="J10" s="39" t="s">
        <v>69</v>
      </c>
      <c r="K10" s="37"/>
      <c r="L10" s="37"/>
      <c r="M10" s="37"/>
      <c r="N10" s="37"/>
      <c r="O10" s="38"/>
    </row>
    <row r="11" spans="2:28" x14ac:dyDescent="0.3">
      <c r="J11" s="39" t="s">
        <v>70</v>
      </c>
      <c r="K11" s="37"/>
      <c r="L11" s="37"/>
      <c r="M11" s="37"/>
      <c r="N11" s="37"/>
      <c r="O11" s="38"/>
    </row>
    <row r="12" spans="2:28" x14ac:dyDescent="0.3">
      <c r="J12" s="36" t="s">
        <v>73</v>
      </c>
      <c r="K12" s="37"/>
      <c r="L12" s="37"/>
      <c r="M12" s="37"/>
      <c r="N12" s="37"/>
      <c r="O12" s="38"/>
    </row>
    <row r="13" spans="2:28" x14ac:dyDescent="0.3">
      <c r="J13" s="10" t="s">
        <v>72</v>
      </c>
      <c r="K13" s="37"/>
      <c r="L13" s="37"/>
      <c r="M13" s="37"/>
      <c r="N13" s="37"/>
      <c r="O13" s="38"/>
    </row>
    <row r="14" spans="2:28" x14ac:dyDescent="0.3">
      <c r="J14" s="36" t="s">
        <v>71</v>
      </c>
      <c r="K14" s="37"/>
      <c r="L14" s="37"/>
      <c r="M14" s="37"/>
      <c r="N14" s="37"/>
      <c r="O14" s="38"/>
    </row>
    <row r="15" spans="2:28" x14ac:dyDescent="0.3">
      <c r="J15" s="36"/>
      <c r="K15" s="37"/>
      <c r="L15" s="37"/>
      <c r="M15" s="37"/>
      <c r="N15" s="37"/>
      <c r="O15" s="38"/>
    </row>
    <row r="16" spans="2:28" ht="17.25" thickBot="1" x14ac:dyDescent="0.35">
      <c r="J16" s="40"/>
      <c r="K16" s="41"/>
      <c r="L16" s="41"/>
      <c r="M16" s="41"/>
      <c r="N16" s="41"/>
      <c r="O16" s="42"/>
    </row>
    <row r="17" spans="2:27" x14ac:dyDescent="0.3">
      <c r="J17" s="32"/>
      <c r="K17" s="32"/>
      <c r="L17" s="32"/>
      <c r="M17" s="32"/>
      <c r="N17" s="32"/>
    </row>
    <row r="18" spans="2:27" x14ac:dyDescent="0.3">
      <c r="J18" s="32"/>
      <c r="K18" s="32"/>
      <c r="L18" s="32"/>
      <c r="M18" s="32"/>
      <c r="N18" s="32"/>
    </row>
    <row r="19" spans="2:27" x14ac:dyDescent="0.3">
      <c r="J19" s="32"/>
      <c r="K19" s="32"/>
      <c r="L19" s="32"/>
      <c r="M19" s="32"/>
      <c r="N19" s="32"/>
    </row>
    <row r="20" spans="2:27" x14ac:dyDescent="0.3">
      <c r="J20" s="32"/>
      <c r="K20" s="32"/>
      <c r="L20" s="32"/>
      <c r="M20" s="32"/>
      <c r="N20" s="32"/>
    </row>
    <row r="21" spans="2:27" x14ac:dyDescent="0.3">
      <c r="J21" s="32"/>
      <c r="K21" s="32"/>
      <c r="L21" s="32"/>
      <c r="M21" s="32"/>
      <c r="N21" s="32"/>
    </row>
    <row r="22" spans="2:27" x14ac:dyDescent="0.3">
      <c r="J22" s="32"/>
      <c r="K22" s="32"/>
      <c r="L22" s="32"/>
      <c r="M22" s="32"/>
      <c r="N22" s="32"/>
    </row>
    <row r="25" spans="2:27" x14ac:dyDescent="0.3">
      <c r="B25" t="s">
        <v>27</v>
      </c>
      <c r="C25" t="s">
        <v>25</v>
      </c>
      <c r="D25" t="s">
        <v>26</v>
      </c>
      <c r="E25" t="s">
        <v>77</v>
      </c>
      <c r="F25" t="s">
        <v>78</v>
      </c>
      <c r="J25" t="s">
        <v>25</v>
      </c>
      <c r="K25" t="s">
        <v>26</v>
      </c>
      <c r="L25" t="s">
        <v>79</v>
      </c>
      <c r="M25" t="s">
        <v>80</v>
      </c>
      <c r="P25" t="s">
        <v>27</v>
      </c>
      <c r="Q25" t="s">
        <v>25</v>
      </c>
      <c r="R25" t="s">
        <v>26</v>
      </c>
      <c r="S25" t="s">
        <v>29</v>
      </c>
      <c r="T25" t="s">
        <v>30</v>
      </c>
      <c r="X25" t="s">
        <v>25</v>
      </c>
      <c r="Y25" t="s">
        <v>26</v>
      </c>
      <c r="Z25" t="s">
        <v>29</v>
      </c>
      <c r="AA25" t="s">
        <v>30</v>
      </c>
    </row>
    <row r="26" spans="2:27" x14ac:dyDescent="0.3">
      <c r="B26">
        <v>415</v>
      </c>
      <c r="C26">
        <f>getDelta($B$2,$C$2, $D$2, B26,$C$3,$D$3,$E$3,$F$3,$G$3)</f>
        <v>0</v>
      </c>
      <c r="D26">
        <f>getGamma($B$2,$C$2, $D$2, B26,$C$3,$D$3,$E$3,$F$3,$G$3)</f>
        <v>0</v>
      </c>
      <c r="E26">
        <f t="shared" ref="E26:E57" si="0">C26*B26</f>
        <v>0</v>
      </c>
      <c r="F26">
        <f t="shared" ref="F26:F57" si="1">D26*B26^2/0.01</f>
        <v>0</v>
      </c>
      <c r="J26">
        <f t="shared" ref="J26:J57" si="2">getDelta($B$2,$C$1,$D$2,B26,$K$3,$D$3,$E$3,$F$3,$G$3)-getDelta($B$2,$C$1,$D$2,B26,$N$3,$D$3,$E$3,$F$3,$G$3)</f>
        <v>0</v>
      </c>
      <c r="K26" t="e">
        <f t="shared" ref="K26:K57" si="3">getGamma($B$2,$C$1,$D$2,B26,$K$3,$D$3,$E$3,$F$3,$G$3)-getGamma($B$2,$C$1,$D$2,C26,$N$3,$D$3,$E$3,$F$3,$G$3)</f>
        <v>#NUM!</v>
      </c>
      <c r="L26">
        <f t="shared" ref="L26:L57" si="4">J26*B26</f>
        <v>0</v>
      </c>
      <c r="M26" t="e">
        <f t="shared" ref="M26:M57" si="5">K26*B26^2/0.01</f>
        <v>#NUM!</v>
      </c>
      <c r="P26">
        <v>415</v>
      </c>
      <c r="Q26">
        <f>getDelta($B$2,$C$2, $D$2, P26,$C$3,$D$3,$E$3,$F$3,$G$3)</f>
        <v>0</v>
      </c>
      <c r="R26">
        <f>getGamma($B$2,$C$2, $D$2, P26,$C$3,$D$3,$E$3,$F$3,$G$3)</f>
        <v>0</v>
      </c>
      <c r="S26">
        <f t="shared" ref="S26:S57" si="6">Q26*P26</f>
        <v>0</v>
      </c>
      <c r="T26">
        <f t="shared" ref="T26:T57" si="7">R26*P26^2/0.01</f>
        <v>0</v>
      </c>
      <c r="X26">
        <f t="shared" ref="X26:X57" si="8">getDelta($B$2,$C$1,$D$2,P26,$K$3,$D$3,$E$3,$F$3,$G$3)-getDelta($B$2,$C$1,$D$2,P26,$N$3,$D$3,$E$3,$F$3,$G$3)</f>
        <v>0</v>
      </c>
      <c r="Y26" t="e">
        <f t="shared" ref="Y26:Y57" si="9">getGamma($B$2,$C$1,$D$2,P26,$K$3,$D$3,$E$3,$F$3,$G$3)-getGamma($B$2,$C$1,$D$2,Q26,$N$3,$D$3,$E$3,$F$3,$G$3)</f>
        <v>#NUM!</v>
      </c>
      <c r="Z26">
        <f t="shared" ref="Z26:Z57" si="10">X26*P26</f>
        <v>0</v>
      </c>
      <c r="AA26" t="e">
        <f t="shared" ref="AA26:AA57" si="11">Y26*P26^2/0.01</f>
        <v>#NUM!</v>
      </c>
    </row>
    <row r="27" spans="2:27" x14ac:dyDescent="0.3">
      <c r="B27">
        <f>B26+0.25</f>
        <v>415.25</v>
      </c>
      <c r="C27">
        <f t="shared" ref="C27:C90" si="12">getDelta($B$2,$C$2, $D$2, B27,$C$3,$D$3,$E$3,$F$3,$G$3)</f>
        <v>0</v>
      </c>
      <c r="D27">
        <f t="shared" ref="D27:D90" si="13">getGamma($B$2,$C$2, $D$2, B27,$C$3,$D$3,$E$3,$F$3,$G$3)</f>
        <v>0</v>
      </c>
      <c r="E27">
        <f t="shared" si="0"/>
        <v>0</v>
      </c>
      <c r="F27">
        <f t="shared" si="1"/>
        <v>0</v>
      </c>
      <c r="J27">
        <f t="shared" si="2"/>
        <v>0</v>
      </c>
      <c r="K27" t="e">
        <f t="shared" si="3"/>
        <v>#NUM!</v>
      </c>
      <c r="L27">
        <f t="shared" si="4"/>
        <v>0</v>
      </c>
      <c r="M27" t="e">
        <f t="shared" si="5"/>
        <v>#NUM!</v>
      </c>
      <c r="P27">
        <f>P26+0.25</f>
        <v>415.25</v>
      </c>
      <c r="Q27">
        <f t="shared" ref="Q27:Q90" si="14">getDelta($B$2,$C$2, $D$2, P27,$C$3,$D$3,$E$3,$F$3,$G$3)</f>
        <v>0</v>
      </c>
      <c r="R27">
        <f t="shared" ref="R27:R90" si="15">getGamma($B$2,$C$2, $D$2, P27,$C$3,$D$3,$E$3,$F$3,$G$3)</f>
        <v>0</v>
      </c>
      <c r="S27">
        <f t="shared" si="6"/>
        <v>0</v>
      </c>
      <c r="T27">
        <f t="shared" si="7"/>
        <v>0</v>
      </c>
      <c r="X27">
        <f t="shared" si="8"/>
        <v>0</v>
      </c>
      <c r="Y27" t="e">
        <f t="shared" si="9"/>
        <v>#NUM!</v>
      </c>
      <c r="Z27">
        <f t="shared" si="10"/>
        <v>0</v>
      </c>
      <c r="AA27" t="e">
        <f t="shared" si="11"/>
        <v>#NUM!</v>
      </c>
    </row>
    <row r="28" spans="2:27" x14ac:dyDescent="0.3">
      <c r="B28">
        <f t="shared" ref="B28:B91" si="16">B27+0.25</f>
        <v>415.5</v>
      </c>
      <c r="C28">
        <f t="shared" si="12"/>
        <v>0</v>
      </c>
      <c r="D28">
        <f t="shared" si="13"/>
        <v>0</v>
      </c>
      <c r="E28">
        <f t="shared" si="0"/>
        <v>0</v>
      </c>
      <c r="F28">
        <f t="shared" si="1"/>
        <v>0</v>
      </c>
      <c r="J28">
        <f t="shared" si="2"/>
        <v>0</v>
      </c>
      <c r="K28" t="e">
        <f t="shared" si="3"/>
        <v>#NUM!</v>
      </c>
      <c r="L28">
        <f t="shared" si="4"/>
        <v>0</v>
      </c>
      <c r="M28" t="e">
        <f t="shared" si="5"/>
        <v>#NUM!</v>
      </c>
      <c r="P28">
        <f t="shared" ref="P28:P91" si="17">P27+0.25</f>
        <v>415.5</v>
      </c>
      <c r="Q28">
        <f t="shared" si="14"/>
        <v>0</v>
      </c>
      <c r="R28">
        <f t="shared" si="15"/>
        <v>0</v>
      </c>
      <c r="S28">
        <f t="shared" si="6"/>
        <v>0</v>
      </c>
      <c r="T28">
        <f t="shared" si="7"/>
        <v>0</v>
      </c>
      <c r="X28">
        <f t="shared" si="8"/>
        <v>0</v>
      </c>
      <c r="Y28" t="e">
        <f t="shared" si="9"/>
        <v>#NUM!</v>
      </c>
      <c r="Z28">
        <f t="shared" si="10"/>
        <v>0</v>
      </c>
      <c r="AA28" t="e">
        <f t="shared" si="11"/>
        <v>#NUM!</v>
      </c>
    </row>
    <row r="29" spans="2:27" x14ac:dyDescent="0.3">
      <c r="B29">
        <f t="shared" si="16"/>
        <v>415.75</v>
      </c>
      <c r="C29">
        <f t="shared" si="12"/>
        <v>0</v>
      </c>
      <c r="D29">
        <f t="shared" si="13"/>
        <v>0</v>
      </c>
      <c r="E29">
        <f t="shared" si="0"/>
        <v>0</v>
      </c>
      <c r="F29">
        <f t="shared" si="1"/>
        <v>0</v>
      </c>
      <c r="J29">
        <f t="shared" si="2"/>
        <v>0</v>
      </c>
      <c r="K29" t="e">
        <f t="shared" si="3"/>
        <v>#NUM!</v>
      </c>
      <c r="L29">
        <f t="shared" si="4"/>
        <v>0</v>
      </c>
      <c r="M29" t="e">
        <f t="shared" si="5"/>
        <v>#NUM!</v>
      </c>
      <c r="P29">
        <f t="shared" si="17"/>
        <v>415.75</v>
      </c>
      <c r="Q29">
        <f t="shared" si="14"/>
        <v>0</v>
      </c>
      <c r="R29">
        <f t="shared" si="15"/>
        <v>0</v>
      </c>
      <c r="S29">
        <f t="shared" si="6"/>
        <v>0</v>
      </c>
      <c r="T29">
        <f t="shared" si="7"/>
        <v>0</v>
      </c>
      <c r="X29">
        <f t="shared" si="8"/>
        <v>0</v>
      </c>
      <c r="Y29" t="e">
        <f t="shared" si="9"/>
        <v>#NUM!</v>
      </c>
      <c r="Z29">
        <f t="shared" si="10"/>
        <v>0</v>
      </c>
      <c r="AA29" t="e">
        <f t="shared" si="11"/>
        <v>#NUM!</v>
      </c>
    </row>
    <row r="30" spans="2:27" x14ac:dyDescent="0.3">
      <c r="B30">
        <f t="shared" si="16"/>
        <v>416</v>
      </c>
      <c r="C30">
        <f t="shared" si="12"/>
        <v>0</v>
      </c>
      <c r="D30">
        <f t="shared" si="13"/>
        <v>0</v>
      </c>
      <c r="E30">
        <f t="shared" si="0"/>
        <v>0</v>
      </c>
      <c r="F30">
        <f t="shared" si="1"/>
        <v>0</v>
      </c>
      <c r="J30">
        <f t="shared" si="2"/>
        <v>0</v>
      </c>
      <c r="K30" t="e">
        <f t="shared" si="3"/>
        <v>#NUM!</v>
      </c>
      <c r="L30">
        <f t="shared" si="4"/>
        <v>0</v>
      </c>
      <c r="M30" t="e">
        <f t="shared" si="5"/>
        <v>#NUM!</v>
      </c>
      <c r="P30">
        <f t="shared" si="17"/>
        <v>416</v>
      </c>
      <c r="Q30">
        <f t="shared" si="14"/>
        <v>0</v>
      </c>
      <c r="R30">
        <f t="shared" si="15"/>
        <v>0</v>
      </c>
      <c r="S30">
        <f t="shared" si="6"/>
        <v>0</v>
      </c>
      <c r="T30">
        <f t="shared" si="7"/>
        <v>0</v>
      </c>
      <c r="X30">
        <f t="shared" si="8"/>
        <v>0</v>
      </c>
      <c r="Y30" t="e">
        <f t="shared" si="9"/>
        <v>#NUM!</v>
      </c>
      <c r="Z30">
        <f t="shared" si="10"/>
        <v>0</v>
      </c>
      <c r="AA30" t="e">
        <f t="shared" si="11"/>
        <v>#NUM!</v>
      </c>
    </row>
    <row r="31" spans="2:27" x14ac:dyDescent="0.3">
      <c r="B31">
        <f t="shared" si="16"/>
        <v>416.25</v>
      </c>
      <c r="C31">
        <f t="shared" si="12"/>
        <v>0</v>
      </c>
      <c r="D31">
        <f t="shared" si="13"/>
        <v>0</v>
      </c>
      <c r="E31">
        <f t="shared" si="0"/>
        <v>0</v>
      </c>
      <c r="F31">
        <f t="shared" si="1"/>
        <v>0</v>
      </c>
      <c r="J31">
        <f t="shared" si="2"/>
        <v>0</v>
      </c>
      <c r="K31" t="e">
        <f t="shared" si="3"/>
        <v>#NUM!</v>
      </c>
      <c r="L31">
        <f t="shared" si="4"/>
        <v>0</v>
      </c>
      <c r="M31" t="e">
        <f t="shared" si="5"/>
        <v>#NUM!</v>
      </c>
      <c r="P31">
        <f t="shared" si="17"/>
        <v>416.25</v>
      </c>
      <c r="Q31">
        <f t="shared" si="14"/>
        <v>0</v>
      </c>
      <c r="R31">
        <f t="shared" si="15"/>
        <v>0</v>
      </c>
      <c r="S31">
        <f t="shared" si="6"/>
        <v>0</v>
      </c>
      <c r="T31">
        <f t="shared" si="7"/>
        <v>0</v>
      </c>
      <c r="X31">
        <f t="shared" si="8"/>
        <v>0</v>
      </c>
      <c r="Y31" t="e">
        <f t="shared" si="9"/>
        <v>#NUM!</v>
      </c>
      <c r="Z31">
        <f t="shared" si="10"/>
        <v>0</v>
      </c>
      <c r="AA31" t="e">
        <f t="shared" si="11"/>
        <v>#NUM!</v>
      </c>
    </row>
    <row r="32" spans="2:27" x14ac:dyDescent="0.3">
      <c r="B32">
        <f t="shared" si="16"/>
        <v>416.5</v>
      </c>
      <c r="C32">
        <f t="shared" si="12"/>
        <v>0</v>
      </c>
      <c r="D32">
        <f t="shared" si="13"/>
        <v>0</v>
      </c>
      <c r="E32">
        <f t="shared" si="0"/>
        <v>0</v>
      </c>
      <c r="F32">
        <f t="shared" si="1"/>
        <v>0</v>
      </c>
      <c r="J32">
        <f t="shared" si="2"/>
        <v>0</v>
      </c>
      <c r="K32" t="e">
        <f t="shared" si="3"/>
        <v>#NUM!</v>
      </c>
      <c r="L32">
        <f t="shared" si="4"/>
        <v>0</v>
      </c>
      <c r="M32" t="e">
        <f t="shared" si="5"/>
        <v>#NUM!</v>
      </c>
      <c r="P32">
        <f t="shared" si="17"/>
        <v>416.5</v>
      </c>
      <c r="Q32">
        <f t="shared" si="14"/>
        <v>0</v>
      </c>
      <c r="R32">
        <f t="shared" si="15"/>
        <v>0</v>
      </c>
      <c r="S32">
        <f t="shared" si="6"/>
        <v>0</v>
      </c>
      <c r="T32">
        <f t="shared" si="7"/>
        <v>0</v>
      </c>
      <c r="X32">
        <f t="shared" si="8"/>
        <v>0</v>
      </c>
      <c r="Y32" t="e">
        <f t="shared" si="9"/>
        <v>#NUM!</v>
      </c>
      <c r="Z32">
        <f t="shared" si="10"/>
        <v>0</v>
      </c>
      <c r="AA32" t="e">
        <f t="shared" si="11"/>
        <v>#NUM!</v>
      </c>
    </row>
    <row r="33" spans="2:27" x14ac:dyDescent="0.3">
      <c r="B33">
        <f t="shared" si="16"/>
        <v>416.75</v>
      </c>
      <c r="C33">
        <f t="shared" si="12"/>
        <v>0</v>
      </c>
      <c r="D33">
        <f t="shared" si="13"/>
        <v>0</v>
      </c>
      <c r="E33">
        <f t="shared" si="0"/>
        <v>0</v>
      </c>
      <c r="F33">
        <f t="shared" si="1"/>
        <v>0</v>
      </c>
      <c r="J33">
        <f t="shared" si="2"/>
        <v>0</v>
      </c>
      <c r="K33" t="e">
        <f t="shared" si="3"/>
        <v>#NUM!</v>
      </c>
      <c r="L33">
        <f t="shared" si="4"/>
        <v>0</v>
      </c>
      <c r="M33" t="e">
        <f t="shared" si="5"/>
        <v>#NUM!</v>
      </c>
      <c r="P33">
        <f t="shared" si="17"/>
        <v>416.75</v>
      </c>
      <c r="Q33">
        <f t="shared" si="14"/>
        <v>0</v>
      </c>
      <c r="R33">
        <f t="shared" si="15"/>
        <v>0</v>
      </c>
      <c r="S33">
        <f t="shared" si="6"/>
        <v>0</v>
      </c>
      <c r="T33">
        <f t="shared" si="7"/>
        <v>0</v>
      </c>
      <c r="X33">
        <f t="shared" si="8"/>
        <v>0</v>
      </c>
      <c r="Y33" t="e">
        <f t="shared" si="9"/>
        <v>#NUM!</v>
      </c>
      <c r="Z33">
        <f t="shared" si="10"/>
        <v>0</v>
      </c>
      <c r="AA33" t="e">
        <f t="shared" si="11"/>
        <v>#NUM!</v>
      </c>
    </row>
    <row r="34" spans="2:27" x14ac:dyDescent="0.3">
      <c r="B34">
        <f t="shared" si="16"/>
        <v>417</v>
      </c>
      <c r="C34">
        <f t="shared" si="12"/>
        <v>0</v>
      </c>
      <c r="D34">
        <f t="shared" si="13"/>
        <v>0</v>
      </c>
      <c r="E34">
        <f t="shared" si="0"/>
        <v>0</v>
      </c>
      <c r="F34">
        <f t="shared" si="1"/>
        <v>0</v>
      </c>
      <c r="J34">
        <f t="shared" si="2"/>
        <v>0</v>
      </c>
      <c r="K34" t="e">
        <f t="shared" si="3"/>
        <v>#NUM!</v>
      </c>
      <c r="L34">
        <f t="shared" si="4"/>
        <v>0</v>
      </c>
      <c r="M34" t="e">
        <f t="shared" si="5"/>
        <v>#NUM!</v>
      </c>
      <c r="P34">
        <f t="shared" si="17"/>
        <v>417</v>
      </c>
      <c r="Q34">
        <f t="shared" si="14"/>
        <v>0</v>
      </c>
      <c r="R34">
        <f t="shared" si="15"/>
        <v>0</v>
      </c>
      <c r="S34">
        <f t="shared" si="6"/>
        <v>0</v>
      </c>
      <c r="T34">
        <f t="shared" si="7"/>
        <v>0</v>
      </c>
      <c r="X34">
        <f t="shared" si="8"/>
        <v>0</v>
      </c>
      <c r="Y34" t="e">
        <f t="shared" si="9"/>
        <v>#NUM!</v>
      </c>
      <c r="Z34">
        <f t="shared" si="10"/>
        <v>0</v>
      </c>
      <c r="AA34" t="e">
        <f t="shared" si="11"/>
        <v>#NUM!</v>
      </c>
    </row>
    <row r="35" spans="2:27" x14ac:dyDescent="0.3">
      <c r="B35">
        <f t="shared" si="16"/>
        <v>417.25</v>
      </c>
      <c r="C35">
        <f t="shared" si="12"/>
        <v>0</v>
      </c>
      <c r="D35">
        <f t="shared" si="13"/>
        <v>0</v>
      </c>
      <c r="E35">
        <f t="shared" si="0"/>
        <v>0</v>
      </c>
      <c r="F35">
        <f t="shared" si="1"/>
        <v>0</v>
      </c>
      <c r="J35">
        <f t="shared" si="2"/>
        <v>0</v>
      </c>
      <c r="K35" t="e">
        <f t="shared" si="3"/>
        <v>#NUM!</v>
      </c>
      <c r="L35">
        <f t="shared" si="4"/>
        <v>0</v>
      </c>
      <c r="M35" t="e">
        <f t="shared" si="5"/>
        <v>#NUM!</v>
      </c>
      <c r="P35">
        <f t="shared" si="17"/>
        <v>417.25</v>
      </c>
      <c r="Q35">
        <f t="shared" si="14"/>
        <v>0</v>
      </c>
      <c r="R35">
        <f t="shared" si="15"/>
        <v>0</v>
      </c>
      <c r="S35">
        <f t="shared" si="6"/>
        <v>0</v>
      </c>
      <c r="T35">
        <f t="shared" si="7"/>
        <v>0</v>
      </c>
      <c r="X35">
        <f t="shared" si="8"/>
        <v>0</v>
      </c>
      <c r="Y35" t="e">
        <f t="shared" si="9"/>
        <v>#NUM!</v>
      </c>
      <c r="Z35">
        <f t="shared" si="10"/>
        <v>0</v>
      </c>
      <c r="AA35" t="e">
        <f t="shared" si="11"/>
        <v>#NUM!</v>
      </c>
    </row>
    <row r="36" spans="2:27" x14ac:dyDescent="0.3">
      <c r="B36">
        <f t="shared" si="16"/>
        <v>417.5</v>
      </c>
      <c r="C36">
        <f t="shared" si="12"/>
        <v>0</v>
      </c>
      <c r="D36">
        <f t="shared" si="13"/>
        <v>0</v>
      </c>
      <c r="E36">
        <f t="shared" si="0"/>
        <v>0</v>
      </c>
      <c r="F36">
        <f t="shared" si="1"/>
        <v>0</v>
      </c>
      <c r="J36">
        <f t="shared" si="2"/>
        <v>0</v>
      </c>
      <c r="K36" t="e">
        <f t="shared" si="3"/>
        <v>#NUM!</v>
      </c>
      <c r="L36">
        <f t="shared" si="4"/>
        <v>0</v>
      </c>
      <c r="M36" t="e">
        <f t="shared" si="5"/>
        <v>#NUM!</v>
      </c>
      <c r="P36">
        <f t="shared" si="17"/>
        <v>417.5</v>
      </c>
      <c r="Q36">
        <f t="shared" si="14"/>
        <v>0</v>
      </c>
      <c r="R36">
        <f t="shared" si="15"/>
        <v>0</v>
      </c>
      <c r="S36">
        <f t="shared" si="6"/>
        <v>0</v>
      </c>
      <c r="T36">
        <f t="shared" si="7"/>
        <v>0</v>
      </c>
      <c r="X36">
        <f t="shared" si="8"/>
        <v>0</v>
      </c>
      <c r="Y36" t="e">
        <f t="shared" si="9"/>
        <v>#NUM!</v>
      </c>
      <c r="Z36">
        <f t="shared" si="10"/>
        <v>0</v>
      </c>
      <c r="AA36" t="e">
        <f t="shared" si="11"/>
        <v>#NUM!</v>
      </c>
    </row>
    <row r="37" spans="2:27" x14ac:dyDescent="0.3">
      <c r="B37">
        <f t="shared" si="16"/>
        <v>417.75</v>
      </c>
      <c r="C37">
        <f t="shared" si="12"/>
        <v>0</v>
      </c>
      <c r="D37">
        <f t="shared" si="13"/>
        <v>0</v>
      </c>
      <c r="E37">
        <f t="shared" si="0"/>
        <v>0</v>
      </c>
      <c r="F37">
        <f t="shared" si="1"/>
        <v>0</v>
      </c>
      <c r="J37">
        <f t="shared" si="2"/>
        <v>0</v>
      </c>
      <c r="K37" t="e">
        <f t="shared" si="3"/>
        <v>#NUM!</v>
      </c>
      <c r="L37">
        <f t="shared" si="4"/>
        <v>0</v>
      </c>
      <c r="M37" t="e">
        <f t="shared" si="5"/>
        <v>#NUM!</v>
      </c>
      <c r="P37">
        <f t="shared" si="17"/>
        <v>417.75</v>
      </c>
      <c r="Q37">
        <f t="shared" si="14"/>
        <v>0</v>
      </c>
      <c r="R37">
        <f t="shared" si="15"/>
        <v>0</v>
      </c>
      <c r="S37">
        <f t="shared" si="6"/>
        <v>0</v>
      </c>
      <c r="T37">
        <f t="shared" si="7"/>
        <v>0</v>
      </c>
      <c r="X37">
        <f t="shared" si="8"/>
        <v>0</v>
      </c>
      <c r="Y37" t="e">
        <f t="shared" si="9"/>
        <v>#NUM!</v>
      </c>
      <c r="Z37">
        <f t="shared" si="10"/>
        <v>0</v>
      </c>
      <c r="AA37" t="e">
        <f t="shared" si="11"/>
        <v>#NUM!</v>
      </c>
    </row>
    <row r="38" spans="2:27" x14ac:dyDescent="0.3">
      <c r="B38">
        <f t="shared" si="16"/>
        <v>418</v>
      </c>
      <c r="C38">
        <f t="shared" si="12"/>
        <v>0</v>
      </c>
      <c r="D38">
        <f t="shared" si="13"/>
        <v>0</v>
      </c>
      <c r="E38">
        <f t="shared" si="0"/>
        <v>0</v>
      </c>
      <c r="F38">
        <f t="shared" si="1"/>
        <v>0</v>
      </c>
      <c r="J38">
        <f t="shared" si="2"/>
        <v>0</v>
      </c>
      <c r="K38" t="e">
        <f t="shared" si="3"/>
        <v>#NUM!</v>
      </c>
      <c r="L38">
        <f t="shared" si="4"/>
        <v>0</v>
      </c>
      <c r="M38" t="e">
        <f t="shared" si="5"/>
        <v>#NUM!</v>
      </c>
      <c r="P38">
        <f t="shared" si="17"/>
        <v>418</v>
      </c>
      <c r="Q38">
        <f t="shared" si="14"/>
        <v>0</v>
      </c>
      <c r="R38">
        <f t="shared" si="15"/>
        <v>0</v>
      </c>
      <c r="S38">
        <f t="shared" si="6"/>
        <v>0</v>
      </c>
      <c r="T38">
        <f t="shared" si="7"/>
        <v>0</v>
      </c>
      <c r="X38">
        <f t="shared" si="8"/>
        <v>0</v>
      </c>
      <c r="Y38" t="e">
        <f t="shared" si="9"/>
        <v>#NUM!</v>
      </c>
      <c r="Z38">
        <f t="shared" si="10"/>
        <v>0</v>
      </c>
      <c r="AA38" t="e">
        <f t="shared" si="11"/>
        <v>#NUM!</v>
      </c>
    </row>
    <row r="39" spans="2:27" x14ac:dyDescent="0.3">
      <c r="B39">
        <f t="shared" si="16"/>
        <v>418.25</v>
      </c>
      <c r="C39">
        <f t="shared" si="12"/>
        <v>0</v>
      </c>
      <c r="D39">
        <f t="shared" si="13"/>
        <v>0</v>
      </c>
      <c r="E39">
        <f t="shared" si="0"/>
        <v>0</v>
      </c>
      <c r="F39">
        <f t="shared" si="1"/>
        <v>0</v>
      </c>
      <c r="J39">
        <f t="shared" si="2"/>
        <v>0</v>
      </c>
      <c r="K39" t="e">
        <f t="shared" si="3"/>
        <v>#NUM!</v>
      </c>
      <c r="L39">
        <f t="shared" si="4"/>
        <v>0</v>
      </c>
      <c r="M39" t="e">
        <f t="shared" si="5"/>
        <v>#NUM!</v>
      </c>
      <c r="P39">
        <f t="shared" si="17"/>
        <v>418.25</v>
      </c>
      <c r="Q39">
        <f t="shared" si="14"/>
        <v>0</v>
      </c>
      <c r="R39">
        <f t="shared" si="15"/>
        <v>0</v>
      </c>
      <c r="S39">
        <f t="shared" si="6"/>
        <v>0</v>
      </c>
      <c r="T39">
        <f t="shared" si="7"/>
        <v>0</v>
      </c>
      <c r="X39">
        <f t="shared" si="8"/>
        <v>0</v>
      </c>
      <c r="Y39" t="e">
        <f t="shared" si="9"/>
        <v>#NUM!</v>
      </c>
      <c r="Z39">
        <f t="shared" si="10"/>
        <v>0</v>
      </c>
      <c r="AA39" t="e">
        <f t="shared" si="11"/>
        <v>#NUM!</v>
      </c>
    </row>
    <row r="40" spans="2:27" x14ac:dyDescent="0.3">
      <c r="B40">
        <f t="shared" si="16"/>
        <v>418.5</v>
      </c>
      <c r="C40">
        <f t="shared" si="12"/>
        <v>0</v>
      </c>
      <c r="D40">
        <f t="shared" si="13"/>
        <v>0</v>
      </c>
      <c r="E40">
        <f t="shared" si="0"/>
        <v>0</v>
      </c>
      <c r="F40">
        <f t="shared" si="1"/>
        <v>0</v>
      </c>
      <c r="J40">
        <f t="shared" si="2"/>
        <v>0</v>
      </c>
      <c r="K40" t="e">
        <f t="shared" si="3"/>
        <v>#NUM!</v>
      </c>
      <c r="L40">
        <f t="shared" si="4"/>
        <v>0</v>
      </c>
      <c r="M40" t="e">
        <f t="shared" si="5"/>
        <v>#NUM!</v>
      </c>
      <c r="P40">
        <f t="shared" si="17"/>
        <v>418.5</v>
      </c>
      <c r="Q40">
        <f t="shared" si="14"/>
        <v>0</v>
      </c>
      <c r="R40">
        <f t="shared" si="15"/>
        <v>0</v>
      </c>
      <c r="S40">
        <f t="shared" si="6"/>
        <v>0</v>
      </c>
      <c r="T40">
        <f t="shared" si="7"/>
        <v>0</v>
      </c>
      <c r="X40">
        <f t="shared" si="8"/>
        <v>0</v>
      </c>
      <c r="Y40" t="e">
        <f t="shared" si="9"/>
        <v>#NUM!</v>
      </c>
      <c r="Z40">
        <f t="shared" si="10"/>
        <v>0</v>
      </c>
      <c r="AA40" t="e">
        <f t="shared" si="11"/>
        <v>#NUM!</v>
      </c>
    </row>
    <row r="41" spans="2:27" x14ac:dyDescent="0.3">
      <c r="B41">
        <f t="shared" si="16"/>
        <v>418.75</v>
      </c>
      <c r="C41">
        <f t="shared" si="12"/>
        <v>0</v>
      </c>
      <c r="D41">
        <f t="shared" si="13"/>
        <v>0</v>
      </c>
      <c r="E41">
        <f t="shared" si="0"/>
        <v>0</v>
      </c>
      <c r="F41">
        <f t="shared" si="1"/>
        <v>0</v>
      </c>
      <c r="J41">
        <f t="shared" si="2"/>
        <v>0</v>
      </c>
      <c r="K41" t="e">
        <f t="shared" si="3"/>
        <v>#NUM!</v>
      </c>
      <c r="L41">
        <f t="shared" si="4"/>
        <v>0</v>
      </c>
      <c r="M41" t="e">
        <f t="shared" si="5"/>
        <v>#NUM!</v>
      </c>
      <c r="P41">
        <f t="shared" si="17"/>
        <v>418.75</v>
      </c>
      <c r="Q41">
        <f t="shared" si="14"/>
        <v>0</v>
      </c>
      <c r="R41">
        <f t="shared" si="15"/>
        <v>0</v>
      </c>
      <c r="S41">
        <f t="shared" si="6"/>
        <v>0</v>
      </c>
      <c r="T41">
        <f t="shared" si="7"/>
        <v>0</v>
      </c>
      <c r="X41">
        <f t="shared" si="8"/>
        <v>0</v>
      </c>
      <c r="Y41" t="e">
        <f t="shared" si="9"/>
        <v>#NUM!</v>
      </c>
      <c r="Z41">
        <f t="shared" si="10"/>
        <v>0</v>
      </c>
      <c r="AA41" t="e">
        <f t="shared" si="11"/>
        <v>#NUM!</v>
      </c>
    </row>
    <row r="42" spans="2:27" x14ac:dyDescent="0.3">
      <c r="B42">
        <f t="shared" si="16"/>
        <v>419</v>
      </c>
      <c r="C42">
        <f t="shared" si="12"/>
        <v>0</v>
      </c>
      <c r="D42">
        <f t="shared" si="13"/>
        <v>0</v>
      </c>
      <c r="E42">
        <f t="shared" si="0"/>
        <v>0</v>
      </c>
      <c r="F42">
        <f t="shared" si="1"/>
        <v>0</v>
      </c>
      <c r="J42">
        <f t="shared" si="2"/>
        <v>0</v>
      </c>
      <c r="K42" t="e">
        <f t="shared" si="3"/>
        <v>#NUM!</v>
      </c>
      <c r="L42">
        <f t="shared" si="4"/>
        <v>0</v>
      </c>
      <c r="M42" t="e">
        <f t="shared" si="5"/>
        <v>#NUM!</v>
      </c>
      <c r="P42">
        <f t="shared" si="17"/>
        <v>419</v>
      </c>
      <c r="Q42">
        <f t="shared" si="14"/>
        <v>0</v>
      </c>
      <c r="R42">
        <f t="shared" si="15"/>
        <v>0</v>
      </c>
      <c r="S42">
        <f t="shared" si="6"/>
        <v>0</v>
      </c>
      <c r="T42">
        <f t="shared" si="7"/>
        <v>0</v>
      </c>
      <c r="X42">
        <f t="shared" si="8"/>
        <v>0</v>
      </c>
      <c r="Y42" t="e">
        <f t="shared" si="9"/>
        <v>#NUM!</v>
      </c>
      <c r="Z42">
        <f t="shared" si="10"/>
        <v>0</v>
      </c>
      <c r="AA42" t="e">
        <f t="shared" si="11"/>
        <v>#NUM!</v>
      </c>
    </row>
    <row r="43" spans="2:27" x14ac:dyDescent="0.3">
      <c r="B43">
        <f t="shared" si="16"/>
        <v>419.25</v>
      </c>
      <c r="C43">
        <f t="shared" si="12"/>
        <v>0</v>
      </c>
      <c r="D43">
        <f t="shared" si="13"/>
        <v>0</v>
      </c>
      <c r="E43">
        <f t="shared" si="0"/>
        <v>0</v>
      </c>
      <c r="F43">
        <f t="shared" si="1"/>
        <v>0</v>
      </c>
      <c r="J43">
        <f t="shared" si="2"/>
        <v>0</v>
      </c>
      <c r="K43" t="e">
        <f t="shared" si="3"/>
        <v>#NUM!</v>
      </c>
      <c r="L43">
        <f t="shared" si="4"/>
        <v>0</v>
      </c>
      <c r="M43" t="e">
        <f t="shared" si="5"/>
        <v>#NUM!</v>
      </c>
      <c r="P43">
        <f t="shared" si="17"/>
        <v>419.25</v>
      </c>
      <c r="Q43">
        <f t="shared" si="14"/>
        <v>0</v>
      </c>
      <c r="R43">
        <f t="shared" si="15"/>
        <v>0</v>
      </c>
      <c r="S43">
        <f t="shared" si="6"/>
        <v>0</v>
      </c>
      <c r="T43">
        <f t="shared" si="7"/>
        <v>0</v>
      </c>
      <c r="X43">
        <f t="shared" si="8"/>
        <v>0</v>
      </c>
      <c r="Y43" t="e">
        <f t="shared" si="9"/>
        <v>#NUM!</v>
      </c>
      <c r="Z43">
        <f t="shared" si="10"/>
        <v>0</v>
      </c>
      <c r="AA43" t="e">
        <f t="shared" si="11"/>
        <v>#NUM!</v>
      </c>
    </row>
    <row r="44" spans="2:27" x14ac:dyDescent="0.3">
      <c r="B44">
        <f t="shared" si="16"/>
        <v>419.5</v>
      </c>
      <c r="C44">
        <f t="shared" si="12"/>
        <v>0</v>
      </c>
      <c r="D44">
        <f t="shared" si="13"/>
        <v>0</v>
      </c>
      <c r="E44">
        <f t="shared" si="0"/>
        <v>0</v>
      </c>
      <c r="F44">
        <f t="shared" si="1"/>
        <v>0</v>
      </c>
      <c r="J44">
        <f t="shared" si="2"/>
        <v>0</v>
      </c>
      <c r="K44" t="e">
        <f t="shared" si="3"/>
        <v>#NUM!</v>
      </c>
      <c r="L44">
        <f t="shared" si="4"/>
        <v>0</v>
      </c>
      <c r="M44" t="e">
        <f t="shared" si="5"/>
        <v>#NUM!</v>
      </c>
      <c r="P44">
        <f t="shared" si="17"/>
        <v>419.5</v>
      </c>
      <c r="Q44">
        <f t="shared" si="14"/>
        <v>0</v>
      </c>
      <c r="R44">
        <f t="shared" si="15"/>
        <v>0</v>
      </c>
      <c r="S44">
        <f t="shared" si="6"/>
        <v>0</v>
      </c>
      <c r="T44">
        <f t="shared" si="7"/>
        <v>0</v>
      </c>
      <c r="X44">
        <f t="shared" si="8"/>
        <v>0</v>
      </c>
      <c r="Y44" t="e">
        <f t="shared" si="9"/>
        <v>#NUM!</v>
      </c>
      <c r="Z44">
        <f t="shared" si="10"/>
        <v>0</v>
      </c>
      <c r="AA44" t="e">
        <f t="shared" si="11"/>
        <v>#NUM!</v>
      </c>
    </row>
    <row r="45" spans="2:27" x14ac:dyDescent="0.3">
      <c r="B45">
        <f t="shared" si="16"/>
        <v>419.75</v>
      </c>
      <c r="C45">
        <f t="shared" si="12"/>
        <v>0</v>
      </c>
      <c r="D45">
        <f t="shared" si="13"/>
        <v>0</v>
      </c>
      <c r="E45">
        <f t="shared" si="0"/>
        <v>0</v>
      </c>
      <c r="F45">
        <f t="shared" si="1"/>
        <v>0</v>
      </c>
      <c r="J45">
        <f t="shared" si="2"/>
        <v>0</v>
      </c>
      <c r="K45" t="e">
        <f t="shared" si="3"/>
        <v>#NUM!</v>
      </c>
      <c r="L45">
        <f t="shared" si="4"/>
        <v>0</v>
      </c>
      <c r="M45" t="e">
        <f t="shared" si="5"/>
        <v>#NUM!</v>
      </c>
      <c r="P45">
        <f t="shared" si="17"/>
        <v>419.75</v>
      </c>
      <c r="Q45">
        <f t="shared" si="14"/>
        <v>0</v>
      </c>
      <c r="R45">
        <f t="shared" si="15"/>
        <v>0</v>
      </c>
      <c r="S45">
        <f t="shared" si="6"/>
        <v>0</v>
      </c>
      <c r="T45">
        <f t="shared" si="7"/>
        <v>0</v>
      </c>
      <c r="X45">
        <f t="shared" si="8"/>
        <v>0</v>
      </c>
      <c r="Y45" t="e">
        <f t="shared" si="9"/>
        <v>#NUM!</v>
      </c>
      <c r="Z45">
        <f t="shared" si="10"/>
        <v>0</v>
      </c>
      <c r="AA45" t="e">
        <f t="shared" si="11"/>
        <v>#NUM!</v>
      </c>
    </row>
    <row r="46" spans="2:27" x14ac:dyDescent="0.3">
      <c r="B46">
        <f t="shared" si="16"/>
        <v>420</v>
      </c>
      <c r="C46">
        <f t="shared" si="12"/>
        <v>0</v>
      </c>
      <c r="D46">
        <f t="shared" si="13"/>
        <v>0</v>
      </c>
      <c r="E46">
        <f t="shared" si="0"/>
        <v>0</v>
      </c>
      <c r="F46">
        <f t="shared" si="1"/>
        <v>0</v>
      </c>
      <c r="J46">
        <f t="shared" si="2"/>
        <v>0</v>
      </c>
      <c r="K46" t="e">
        <f t="shared" si="3"/>
        <v>#NUM!</v>
      </c>
      <c r="L46">
        <f t="shared" si="4"/>
        <v>0</v>
      </c>
      <c r="M46" t="e">
        <f t="shared" si="5"/>
        <v>#NUM!</v>
      </c>
      <c r="P46">
        <f t="shared" si="17"/>
        <v>420</v>
      </c>
      <c r="Q46">
        <f t="shared" si="14"/>
        <v>0</v>
      </c>
      <c r="R46">
        <f t="shared" si="15"/>
        <v>0</v>
      </c>
      <c r="S46">
        <f t="shared" si="6"/>
        <v>0</v>
      </c>
      <c r="T46">
        <f t="shared" si="7"/>
        <v>0</v>
      </c>
      <c r="X46">
        <f t="shared" si="8"/>
        <v>0</v>
      </c>
      <c r="Y46" t="e">
        <f t="shared" si="9"/>
        <v>#NUM!</v>
      </c>
      <c r="Z46">
        <f t="shared" si="10"/>
        <v>0</v>
      </c>
      <c r="AA46" t="e">
        <f t="shared" si="11"/>
        <v>#NUM!</v>
      </c>
    </row>
    <row r="47" spans="2:27" x14ac:dyDescent="0.3">
      <c r="B47">
        <f t="shared" si="16"/>
        <v>420.25</v>
      </c>
      <c r="C47">
        <f t="shared" si="12"/>
        <v>0</v>
      </c>
      <c r="D47">
        <f t="shared" si="13"/>
        <v>0</v>
      </c>
      <c r="E47">
        <f t="shared" si="0"/>
        <v>0</v>
      </c>
      <c r="F47">
        <f t="shared" si="1"/>
        <v>0</v>
      </c>
      <c r="J47">
        <f t="shared" si="2"/>
        <v>0</v>
      </c>
      <c r="K47" t="e">
        <f t="shared" si="3"/>
        <v>#NUM!</v>
      </c>
      <c r="L47">
        <f t="shared" si="4"/>
        <v>0</v>
      </c>
      <c r="M47" t="e">
        <f t="shared" si="5"/>
        <v>#NUM!</v>
      </c>
      <c r="P47">
        <f t="shared" si="17"/>
        <v>420.25</v>
      </c>
      <c r="Q47">
        <f t="shared" si="14"/>
        <v>0</v>
      </c>
      <c r="R47">
        <f t="shared" si="15"/>
        <v>0</v>
      </c>
      <c r="S47">
        <f t="shared" si="6"/>
        <v>0</v>
      </c>
      <c r="T47">
        <f t="shared" si="7"/>
        <v>0</v>
      </c>
      <c r="X47">
        <f t="shared" si="8"/>
        <v>0</v>
      </c>
      <c r="Y47" t="e">
        <f t="shared" si="9"/>
        <v>#NUM!</v>
      </c>
      <c r="Z47">
        <f t="shared" si="10"/>
        <v>0</v>
      </c>
      <c r="AA47" t="e">
        <f t="shared" si="11"/>
        <v>#NUM!</v>
      </c>
    </row>
    <row r="48" spans="2:27" x14ac:dyDescent="0.3">
      <c r="B48">
        <f t="shared" si="16"/>
        <v>420.5</v>
      </c>
      <c r="C48">
        <f t="shared" si="12"/>
        <v>0</v>
      </c>
      <c r="D48">
        <f t="shared" si="13"/>
        <v>0</v>
      </c>
      <c r="E48">
        <f t="shared" si="0"/>
        <v>0</v>
      </c>
      <c r="F48">
        <f t="shared" si="1"/>
        <v>0</v>
      </c>
      <c r="J48">
        <f t="shared" si="2"/>
        <v>0</v>
      </c>
      <c r="K48" t="e">
        <f t="shared" si="3"/>
        <v>#NUM!</v>
      </c>
      <c r="L48">
        <f t="shared" si="4"/>
        <v>0</v>
      </c>
      <c r="M48" t="e">
        <f t="shared" si="5"/>
        <v>#NUM!</v>
      </c>
      <c r="P48">
        <f t="shared" si="17"/>
        <v>420.5</v>
      </c>
      <c r="Q48">
        <f t="shared" si="14"/>
        <v>0</v>
      </c>
      <c r="R48">
        <f t="shared" si="15"/>
        <v>0</v>
      </c>
      <c r="S48">
        <f t="shared" si="6"/>
        <v>0</v>
      </c>
      <c r="T48">
        <f t="shared" si="7"/>
        <v>0</v>
      </c>
      <c r="X48">
        <f t="shared" si="8"/>
        <v>0</v>
      </c>
      <c r="Y48" t="e">
        <f t="shared" si="9"/>
        <v>#NUM!</v>
      </c>
      <c r="Z48">
        <f t="shared" si="10"/>
        <v>0</v>
      </c>
      <c r="AA48" t="e">
        <f t="shared" si="11"/>
        <v>#NUM!</v>
      </c>
    </row>
    <row r="49" spans="2:27" x14ac:dyDescent="0.3">
      <c r="B49">
        <f t="shared" si="16"/>
        <v>420.75</v>
      </c>
      <c r="C49">
        <f t="shared" si="12"/>
        <v>0</v>
      </c>
      <c r="D49">
        <f t="shared" si="13"/>
        <v>0</v>
      </c>
      <c r="E49">
        <f t="shared" si="0"/>
        <v>0</v>
      </c>
      <c r="F49">
        <f t="shared" si="1"/>
        <v>0</v>
      </c>
      <c r="J49">
        <f t="shared" si="2"/>
        <v>0</v>
      </c>
      <c r="K49" t="e">
        <f t="shared" si="3"/>
        <v>#NUM!</v>
      </c>
      <c r="L49">
        <f t="shared" si="4"/>
        <v>0</v>
      </c>
      <c r="M49" t="e">
        <f t="shared" si="5"/>
        <v>#NUM!</v>
      </c>
      <c r="P49">
        <f t="shared" si="17"/>
        <v>420.75</v>
      </c>
      <c r="Q49">
        <f t="shared" si="14"/>
        <v>0</v>
      </c>
      <c r="R49">
        <f t="shared" si="15"/>
        <v>0</v>
      </c>
      <c r="S49">
        <f t="shared" si="6"/>
        <v>0</v>
      </c>
      <c r="T49">
        <f t="shared" si="7"/>
        <v>0</v>
      </c>
      <c r="X49">
        <f t="shared" si="8"/>
        <v>0</v>
      </c>
      <c r="Y49" t="e">
        <f t="shared" si="9"/>
        <v>#NUM!</v>
      </c>
      <c r="Z49">
        <f t="shared" si="10"/>
        <v>0</v>
      </c>
      <c r="AA49" t="e">
        <f t="shared" si="11"/>
        <v>#NUM!</v>
      </c>
    </row>
    <row r="50" spans="2:27" x14ac:dyDescent="0.3">
      <c r="B50">
        <f t="shared" si="16"/>
        <v>421</v>
      </c>
      <c r="C50">
        <f t="shared" si="12"/>
        <v>0</v>
      </c>
      <c r="D50">
        <f t="shared" si="13"/>
        <v>0</v>
      </c>
      <c r="E50">
        <f t="shared" si="0"/>
        <v>0</v>
      </c>
      <c r="F50">
        <f t="shared" si="1"/>
        <v>0</v>
      </c>
      <c r="J50">
        <f t="shared" si="2"/>
        <v>0</v>
      </c>
      <c r="K50" t="e">
        <f t="shared" si="3"/>
        <v>#NUM!</v>
      </c>
      <c r="L50">
        <f t="shared" si="4"/>
        <v>0</v>
      </c>
      <c r="M50" t="e">
        <f t="shared" si="5"/>
        <v>#NUM!</v>
      </c>
      <c r="P50">
        <f t="shared" si="17"/>
        <v>421</v>
      </c>
      <c r="Q50">
        <f t="shared" si="14"/>
        <v>0</v>
      </c>
      <c r="R50">
        <f t="shared" si="15"/>
        <v>0</v>
      </c>
      <c r="S50">
        <f t="shared" si="6"/>
        <v>0</v>
      </c>
      <c r="T50">
        <f t="shared" si="7"/>
        <v>0</v>
      </c>
      <c r="X50">
        <f t="shared" si="8"/>
        <v>0</v>
      </c>
      <c r="Y50" t="e">
        <f t="shared" si="9"/>
        <v>#NUM!</v>
      </c>
      <c r="Z50">
        <f t="shared" si="10"/>
        <v>0</v>
      </c>
      <c r="AA50" t="e">
        <f t="shared" si="11"/>
        <v>#NUM!</v>
      </c>
    </row>
    <row r="51" spans="2:27" x14ac:dyDescent="0.3">
      <c r="B51">
        <f t="shared" si="16"/>
        <v>421.25</v>
      </c>
      <c r="C51">
        <f t="shared" si="12"/>
        <v>0</v>
      </c>
      <c r="D51">
        <f t="shared" si="13"/>
        <v>0</v>
      </c>
      <c r="E51">
        <f t="shared" si="0"/>
        <v>0</v>
      </c>
      <c r="F51">
        <f t="shared" si="1"/>
        <v>0</v>
      </c>
      <c r="J51">
        <f t="shared" si="2"/>
        <v>0</v>
      </c>
      <c r="K51" t="e">
        <f t="shared" si="3"/>
        <v>#NUM!</v>
      </c>
      <c r="L51">
        <f t="shared" si="4"/>
        <v>0</v>
      </c>
      <c r="M51" t="e">
        <f t="shared" si="5"/>
        <v>#NUM!</v>
      </c>
      <c r="P51">
        <f t="shared" si="17"/>
        <v>421.25</v>
      </c>
      <c r="Q51">
        <f t="shared" si="14"/>
        <v>0</v>
      </c>
      <c r="R51">
        <f t="shared" si="15"/>
        <v>0</v>
      </c>
      <c r="S51">
        <f t="shared" si="6"/>
        <v>0</v>
      </c>
      <c r="T51">
        <f t="shared" si="7"/>
        <v>0</v>
      </c>
      <c r="X51">
        <f t="shared" si="8"/>
        <v>0</v>
      </c>
      <c r="Y51" t="e">
        <f t="shared" si="9"/>
        <v>#NUM!</v>
      </c>
      <c r="Z51">
        <f t="shared" si="10"/>
        <v>0</v>
      </c>
      <c r="AA51" t="e">
        <f t="shared" si="11"/>
        <v>#NUM!</v>
      </c>
    </row>
    <row r="52" spans="2:27" x14ac:dyDescent="0.3">
      <c r="B52">
        <f t="shared" si="16"/>
        <v>421.5</v>
      </c>
      <c r="C52">
        <f t="shared" si="12"/>
        <v>0</v>
      </c>
      <c r="D52">
        <f t="shared" si="13"/>
        <v>0</v>
      </c>
      <c r="E52">
        <f t="shared" si="0"/>
        <v>0</v>
      </c>
      <c r="F52">
        <f t="shared" si="1"/>
        <v>0</v>
      </c>
      <c r="J52">
        <f t="shared" si="2"/>
        <v>0</v>
      </c>
      <c r="K52" t="e">
        <f t="shared" si="3"/>
        <v>#NUM!</v>
      </c>
      <c r="L52">
        <f t="shared" si="4"/>
        <v>0</v>
      </c>
      <c r="M52" t="e">
        <f t="shared" si="5"/>
        <v>#NUM!</v>
      </c>
      <c r="P52">
        <f t="shared" si="17"/>
        <v>421.5</v>
      </c>
      <c r="Q52">
        <f t="shared" si="14"/>
        <v>0</v>
      </c>
      <c r="R52">
        <f t="shared" si="15"/>
        <v>0</v>
      </c>
      <c r="S52">
        <f t="shared" si="6"/>
        <v>0</v>
      </c>
      <c r="T52">
        <f t="shared" si="7"/>
        <v>0</v>
      </c>
      <c r="X52">
        <f t="shared" si="8"/>
        <v>0</v>
      </c>
      <c r="Y52" t="e">
        <f t="shared" si="9"/>
        <v>#NUM!</v>
      </c>
      <c r="Z52">
        <f t="shared" si="10"/>
        <v>0</v>
      </c>
      <c r="AA52" t="e">
        <f t="shared" si="11"/>
        <v>#NUM!</v>
      </c>
    </row>
    <row r="53" spans="2:27" x14ac:dyDescent="0.3">
      <c r="B53">
        <f t="shared" si="16"/>
        <v>421.75</v>
      </c>
      <c r="C53">
        <f t="shared" si="12"/>
        <v>0</v>
      </c>
      <c r="D53">
        <f t="shared" si="13"/>
        <v>0</v>
      </c>
      <c r="E53">
        <f t="shared" si="0"/>
        <v>0</v>
      </c>
      <c r="F53">
        <f t="shared" si="1"/>
        <v>0</v>
      </c>
      <c r="J53">
        <f t="shared" si="2"/>
        <v>0</v>
      </c>
      <c r="K53" t="e">
        <f t="shared" si="3"/>
        <v>#NUM!</v>
      </c>
      <c r="L53">
        <f t="shared" si="4"/>
        <v>0</v>
      </c>
      <c r="M53" t="e">
        <f t="shared" si="5"/>
        <v>#NUM!</v>
      </c>
      <c r="P53">
        <f t="shared" si="17"/>
        <v>421.75</v>
      </c>
      <c r="Q53">
        <f t="shared" si="14"/>
        <v>0</v>
      </c>
      <c r="R53">
        <f t="shared" si="15"/>
        <v>0</v>
      </c>
      <c r="S53">
        <f t="shared" si="6"/>
        <v>0</v>
      </c>
      <c r="T53">
        <f t="shared" si="7"/>
        <v>0</v>
      </c>
      <c r="X53">
        <f t="shared" si="8"/>
        <v>0</v>
      </c>
      <c r="Y53" t="e">
        <f t="shared" si="9"/>
        <v>#NUM!</v>
      </c>
      <c r="Z53">
        <f t="shared" si="10"/>
        <v>0</v>
      </c>
      <c r="AA53" t="e">
        <f t="shared" si="11"/>
        <v>#NUM!</v>
      </c>
    </row>
    <row r="54" spans="2:27" x14ac:dyDescent="0.3">
      <c r="B54">
        <f t="shared" si="16"/>
        <v>422</v>
      </c>
      <c r="C54">
        <f t="shared" si="12"/>
        <v>0</v>
      </c>
      <c r="D54">
        <f t="shared" si="13"/>
        <v>0</v>
      </c>
      <c r="E54">
        <f t="shared" si="0"/>
        <v>0</v>
      </c>
      <c r="F54">
        <f t="shared" si="1"/>
        <v>0</v>
      </c>
      <c r="J54">
        <f t="shared" si="2"/>
        <v>0</v>
      </c>
      <c r="K54" t="e">
        <f t="shared" si="3"/>
        <v>#NUM!</v>
      </c>
      <c r="L54">
        <f t="shared" si="4"/>
        <v>0</v>
      </c>
      <c r="M54" t="e">
        <f t="shared" si="5"/>
        <v>#NUM!</v>
      </c>
      <c r="P54">
        <f t="shared" si="17"/>
        <v>422</v>
      </c>
      <c r="Q54">
        <f t="shared" si="14"/>
        <v>0</v>
      </c>
      <c r="R54">
        <f t="shared" si="15"/>
        <v>0</v>
      </c>
      <c r="S54">
        <f t="shared" si="6"/>
        <v>0</v>
      </c>
      <c r="T54">
        <f t="shared" si="7"/>
        <v>0</v>
      </c>
      <c r="X54">
        <f t="shared" si="8"/>
        <v>0</v>
      </c>
      <c r="Y54" t="e">
        <f t="shared" si="9"/>
        <v>#NUM!</v>
      </c>
      <c r="Z54">
        <f t="shared" si="10"/>
        <v>0</v>
      </c>
      <c r="AA54" t="e">
        <f t="shared" si="11"/>
        <v>#NUM!</v>
      </c>
    </row>
    <row r="55" spans="2:27" x14ac:dyDescent="0.3">
      <c r="B55">
        <f t="shared" si="16"/>
        <v>422.25</v>
      </c>
      <c r="C55">
        <f t="shared" si="12"/>
        <v>0</v>
      </c>
      <c r="D55">
        <f t="shared" si="13"/>
        <v>0</v>
      </c>
      <c r="E55">
        <f t="shared" si="0"/>
        <v>0</v>
      </c>
      <c r="F55">
        <f t="shared" si="1"/>
        <v>0</v>
      </c>
      <c r="J55">
        <f t="shared" si="2"/>
        <v>1.4699012641083188E-6</v>
      </c>
      <c r="K55" t="e">
        <f t="shared" si="3"/>
        <v>#NUM!</v>
      </c>
      <c r="L55">
        <f t="shared" si="4"/>
        <v>6.2066580876973766E-4</v>
      </c>
      <c r="M55" t="e">
        <f t="shared" si="5"/>
        <v>#NUM!</v>
      </c>
      <c r="P55">
        <f t="shared" si="17"/>
        <v>422.25</v>
      </c>
      <c r="Q55">
        <f t="shared" si="14"/>
        <v>0</v>
      </c>
      <c r="R55">
        <f t="shared" si="15"/>
        <v>0</v>
      </c>
      <c r="S55">
        <f t="shared" si="6"/>
        <v>0</v>
      </c>
      <c r="T55">
        <f t="shared" si="7"/>
        <v>0</v>
      </c>
      <c r="X55">
        <f t="shared" si="8"/>
        <v>1.4699012641083188E-6</v>
      </c>
      <c r="Y55" t="e">
        <f t="shared" si="9"/>
        <v>#NUM!</v>
      </c>
      <c r="Z55">
        <f t="shared" si="10"/>
        <v>6.2066580876973766E-4</v>
      </c>
      <c r="AA55" t="e">
        <f t="shared" si="11"/>
        <v>#NUM!</v>
      </c>
    </row>
    <row r="56" spans="2:27" x14ac:dyDescent="0.3">
      <c r="B56">
        <f t="shared" si="16"/>
        <v>422.5</v>
      </c>
      <c r="C56">
        <f t="shared" si="12"/>
        <v>1.1834301775161243E-5</v>
      </c>
      <c r="D56">
        <f t="shared" si="13"/>
        <v>5.6020363432715945E-6</v>
      </c>
      <c r="E56">
        <f t="shared" si="0"/>
        <v>4.9999925000056254E-3</v>
      </c>
      <c r="F56">
        <f t="shared" si="1"/>
        <v>99.999850000112502</v>
      </c>
      <c r="J56">
        <f t="shared" si="2"/>
        <v>7.9233907468006506E-6</v>
      </c>
      <c r="K56">
        <f t="shared" si="3"/>
        <v>3.7507175132784149E-6</v>
      </c>
      <c r="L56">
        <f t="shared" si="4"/>
        <v>3.3476325905232749E-3</v>
      </c>
      <c r="M56">
        <f t="shared" si="5"/>
        <v>66.952651810465497</v>
      </c>
      <c r="P56">
        <f t="shared" si="17"/>
        <v>422.5</v>
      </c>
      <c r="Q56">
        <f t="shared" si="14"/>
        <v>1.1834301775161243E-5</v>
      </c>
      <c r="R56">
        <f t="shared" si="15"/>
        <v>5.6020363432715945E-6</v>
      </c>
      <c r="S56">
        <f t="shared" si="6"/>
        <v>4.9999925000056254E-3</v>
      </c>
      <c r="T56">
        <f t="shared" si="7"/>
        <v>99.999850000112502</v>
      </c>
      <c r="X56">
        <f t="shared" si="8"/>
        <v>7.9233907468006506E-6</v>
      </c>
      <c r="Y56">
        <f t="shared" si="9"/>
        <v>3.7507175132784149E-6</v>
      </c>
      <c r="Z56">
        <f t="shared" si="10"/>
        <v>3.3476325905232749E-3</v>
      </c>
      <c r="AA56">
        <f t="shared" si="11"/>
        <v>66.952651810465497</v>
      </c>
    </row>
    <row r="57" spans="2:27" x14ac:dyDescent="0.3">
      <c r="B57">
        <f t="shared" si="16"/>
        <v>422.75</v>
      </c>
      <c r="C57">
        <f t="shared" si="12"/>
        <v>4.1395561797799375E-5</v>
      </c>
      <c r="D57">
        <f t="shared" si="13"/>
        <v>1.9583944079384681E-5</v>
      </c>
      <c r="E57">
        <f t="shared" si="0"/>
        <v>1.7499973750019687E-2</v>
      </c>
      <c r="F57">
        <f t="shared" si="1"/>
        <v>349.99947500039366</v>
      </c>
      <c r="J57">
        <f t="shared" si="2"/>
        <v>2.5434368160806932E-5</v>
      </c>
      <c r="K57">
        <f t="shared" si="3"/>
        <v>1.2777910180072849E-5</v>
      </c>
      <c r="L57">
        <f t="shared" si="4"/>
        <v>1.075237913998113E-2</v>
      </c>
      <c r="M57">
        <f t="shared" si="5"/>
        <v>228.36369612265557</v>
      </c>
      <c r="P57">
        <f t="shared" si="17"/>
        <v>422.75</v>
      </c>
      <c r="Q57">
        <f t="shared" si="14"/>
        <v>4.1395561797799375E-5</v>
      </c>
      <c r="R57">
        <f t="shared" si="15"/>
        <v>1.9583944079384681E-5</v>
      </c>
      <c r="S57">
        <f t="shared" si="6"/>
        <v>1.7499973750019687E-2</v>
      </c>
      <c r="T57">
        <f t="shared" si="7"/>
        <v>349.99947500039366</v>
      </c>
      <c r="X57">
        <f t="shared" si="8"/>
        <v>2.5434368160806932E-5</v>
      </c>
      <c r="Y57">
        <f t="shared" si="9"/>
        <v>1.2777910180072849E-5</v>
      </c>
      <c r="Z57">
        <f t="shared" si="10"/>
        <v>1.075237913998113E-2</v>
      </c>
      <c r="AA57">
        <f t="shared" si="11"/>
        <v>228.36369612265557</v>
      </c>
    </row>
    <row r="58" spans="2:27" x14ac:dyDescent="0.3">
      <c r="B58">
        <f t="shared" si="16"/>
        <v>423</v>
      </c>
      <c r="C58">
        <f t="shared" si="12"/>
        <v>1.3593360224601584E-4</v>
      </c>
      <c r="D58">
        <f t="shared" si="13"/>
        <v>6.4271206735704871E-5</v>
      </c>
      <c r="E58">
        <f t="shared" ref="E58:E89" si="18">C58*B58</f>
        <v>5.7499913750064698E-2</v>
      </c>
      <c r="F58">
        <f t="shared" ref="F58:F89" si="19">D58*B58^2/0.01</f>
        <v>1149.9982750012937</v>
      </c>
      <c r="J58">
        <f t="shared" ref="J58:J89" si="20">getDelta($B$2,$C$1,$D$2,B58,$K$3,$D$3,$E$3,$F$3,$G$3)-getDelta($B$2,$C$1,$D$2,B58,$N$3,$D$3,$E$3,$F$3,$G$3)</f>
        <v>6.8023448718137865E-5</v>
      </c>
      <c r="K58">
        <f t="shared" ref="K58:K89" si="21">getGamma($B$2,$C$1,$D$2,B58,$K$3,$D$3,$E$3,$F$3,$G$3)-getGamma($B$2,$C$1,$D$2,C58,$N$3,$D$3,$E$3,$F$3,$G$3)</f>
        <v>3.6076500508515409E-5</v>
      </c>
      <c r="L58">
        <f t="shared" ref="L58:L89" si="22">J58*B58</f>
        <v>2.8773918807772317E-2</v>
      </c>
      <c r="M58">
        <f t="shared" ref="M58:M89" si="23">K58*B58^2/0.01</f>
        <v>645.51321594881529</v>
      </c>
      <c r="P58">
        <f t="shared" si="17"/>
        <v>423</v>
      </c>
      <c r="Q58">
        <f t="shared" si="14"/>
        <v>1.3593360224601584E-4</v>
      </c>
      <c r="R58">
        <f t="shared" si="15"/>
        <v>6.4271206735704871E-5</v>
      </c>
      <c r="S58">
        <f t="shared" ref="S58:S89" si="24">Q58*P58</f>
        <v>5.7499913750064698E-2</v>
      </c>
      <c r="T58">
        <f t="shared" ref="T58:T89" si="25">R58*P58^2/0.01</f>
        <v>1149.9982750012937</v>
      </c>
      <c r="X58">
        <f t="shared" ref="X58:X89" si="26">getDelta($B$2,$C$1,$D$2,P58,$K$3,$D$3,$E$3,$F$3,$G$3)-getDelta($B$2,$C$1,$D$2,P58,$N$3,$D$3,$E$3,$F$3,$G$3)</f>
        <v>6.8023448718137865E-5</v>
      </c>
      <c r="Y58">
        <f t="shared" ref="Y58:Y89" si="27">getGamma($B$2,$C$1,$D$2,P58,$K$3,$D$3,$E$3,$F$3,$G$3)-getGamma($B$2,$C$1,$D$2,Q58,$N$3,$D$3,$E$3,$F$3,$G$3)</f>
        <v>3.6076500508515409E-5</v>
      </c>
      <c r="Z58">
        <f t="shared" ref="Z58:Z89" si="28">X58*P58</f>
        <v>2.8773918807772317E-2</v>
      </c>
      <c r="AA58">
        <f t="shared" ref="AA58:AA89" si="29">Y58*P58^2/0.01</f>
        <v>645.51321594881529</v>
      </c>
    </row>
    <row r="59" spans="2:27" x14ac:dyDescent="0.3">
      <c r="B59">
        <f t="shared" si="16"/>
        <v>423.25</v>
      </c>
      <c r="C59">
        <f t="shared" si="12"/>
        <v>3.0714661547583312E-4</v>
      </c>
      <c r="D59">
        <f t="shared" si="13"/>
        <v>1.4513720754912374E-4</v>
      </c>
      <c r="E59">
        <f t="shared" si="18"/>
        <v>0.12999980500014638</v>
      </c>
      <c r="F59">
        <f t="shared" si="19"/>
        <v>2599.9961000029275</v>
      </c>
      <c r="J59">
        <f t="shared" si="20"/>
        <v>1.7847911282400442E-4</v>
      </c>
      <c r="K59">
        <f t="shared" si="21"/>
        <v>9.7631738678265935E-5</v>
      </c>
      <c r="L59">
        <f t="shared" si="22"/>
        <v>7.5541284502759876E-2</v>
      </c>
      <c r="M59">
        <f t="shared" si="23"/>
        <v>1748.9804584677563</v>
      </c>
      <c r="P59">
        <f t="shared" si="17"/>
        <v>423.25</v>
      </c>
      <c r="Q59">
        <f t="shared" si="14"/>
        <v>3.0714661547583312E-4</v>
      </c>
      <c r="R59">
        <f t="shared" si="15"/>
        <v>1.4513720754912374E-4</v>
      </c>
      <c r="S59">
        <f t="shared" si="24"/>
        <v>0.12999980500014638</v>
      </c>
      <c r="T59">
        <f t="shared" si="25"/>
        <v>2599.9961000029275</v>
      </c>
      <c r="X59">
        <f t="shared" si="26"/>
        <v>1.7847911282400442E-4</v>
      </c>
      <c r="Y59">
        <f t="shared" si="27"/>
        <v>9.7631738678265935E-5</v>
      </c>
      <c r="Z59">
        <f t="shared" si="28"/>
        <v>7.5541284502759876E-2</v>
      </c>
      <c r="AA59">
        <f t="shared" si="29"/>
        <v>1748.9804584677563</v>
      </c>
    </row>
    <row r="60" spans="2:27" x14ac:dyDescent="0.3">
      <c r="B60">
        <f t="shared" si="16"/>
        <v>423.5</v>
      </c>
      <c r="C60">
        <f t="shared" si="12"/>
        <v>7.8512278925708218E-4</v>
      </c>
      <c r="D60">
        <f t="shared" si="13"/>
        <v>3.7077817674478492E-4</v>
      </c>
      <c r="E60">
        <f t="shared" si="18"/>
        <v>0.33249950125037431</v>
      </c>
      <c r="F60">
        <f t="shared" si="19"/>
        <v>6649.9900250074861</v>
      </c>
      <c r="J60">
        <f t="shared" si="20"/>
        <v>4.3041145590326209E-4</v>
      </c>
      <c r="K60">
        <f t="shared" si="21"/>
        <v>2.4045451981613659E-4</v>
      </c>
      <c r="L60">
        <f t="shared" si="22"/>
        <v>0.1822792515750315</v>
      </c>
      <c r="M60">
        <f t="shared" si="23"/>
        <v>4312.605915169368</v>
      </c>
      <c r="P60">
        <f t="shared" si="17"/>
        <v>423.5</v>
      </c>
      <c r="Q60">
        <f t="shared" si="14"/>
        <v>7.8512278925708218E-4</v>
      </c>
      <c r="R60">
        <f t="shared" si="15"/>
        <v>3.7077817674478492E-4</v>
      </c>
      <c r="S60">
        <f t="shared" si="24"/>
        <v>0.33249950125037431</v>
      </c>
      <c r="T60">
        <f t="shared" si="25"/>
        <v>6649.9900250074861</v>
      </c>
      <c r="X60">
        <f t="shared" si="26"/>
        <v>4.3041145590326209E-4</v>
      </c>
      <c r="Y60">
        <f t="shared" si="27"/>
        <v>2.4045451981613659E-4</v>
      </c>
      <c r="Z60">
        <f t="shared" si="28"/>
        <v>0.1822792515750315</v>
      </c>
      <c r="AA60">
        <f t="shared" si="29"/>
        <v>4312.605915169368</v>
      </c>
    </row>
    <row r="61" spans="2:27" x14ac:dyDescent="0.3">
      <c r="B61">
        <f t="shared" si="16"/>
        <v>423.75</v>
      </c>
      <c r="C61">
        <f t="shared" si="12"/>
        <v>1.7286109764031192E-3</v>
      </c>
      <c r="D61">
        <f t="shared" si="13"/>
        <v>8.1586358768288825E-4</v>
      </c>
      <c r="E61">
        <f t="shared" si="18"/>
        <v>0.73249890125082173</v>
      </c>
      <c r="F61">
        <f t="shared" si="19"/>
        <v>14649.978025016437</v>
      </c>
      <c r="J61">
        <f t="shared" si="20"/>
        <v>8.9703032257130273E-4</v>
      </c>
      <c r="K61">
        <f t="shared" si="21"/>
        <v>5.2376650151801185E-4</v>
      </c>
      <c r="L61">
        <f t="shared" si="22"/>
        <v>0.38011659918958951</v>
      </c>
      <c r="M61">
        <f t="shared" si="23"/>
        <v>9404.9640813986625</v>
      </c>
      <c r="P61">
        <f t="shared" si="17"/>
        <v>423.75</v>
      </c>
      <c r="Q61">
        <f t="shared" si="14"/>
        <v>1.7286109764031192E-3</v>
      </c>
      <c r="R61">
        <f t="shared" si="15"/>
        <v>8.1586358768288825E-4</v>
      </c>
      <c r="S61">
        <f t="shared" si="24"/>
        <v>0.73249890125082173</v>
      </c>
      <c r="T61">
        <f t="shared" si="25"/>
        <v>14649.978025016437</v>
      </c>
      <c r="X61">
        <f t="shared" si="26"/>
        <v>8.9703032257130273E-4</v>
      </c>
      <c r="Y61">
        <f t="shared" si="27"/>
        <v>5.2376650151801185E-4</v>
      </c>
      <c r="Z61">
        <f t="shared" si="28"/>
        <v>0.38011659918958951</v>
      </c>
      <c r="AA61">
        <f t="shared" si="29"/>
        <v>9404.9640813986625</v>
      </c>
    </row>
    <row r="62" spans="2:27" x14ac:dyDescent="0.3">
      <c r="B62">
        <f t="shared" si="16"/>
        <v>424</v>
      </c>
      <c r="C62">
        <f t="shared" si="12"/>
        <v>3.2665045342017925E-3</v>
      </c>
      <c r="D62">
        <f t="shared" si="13"/>
        <v>1.5408040255668832E-3</v>
      </c>
      <c r="E62">
        <f t="shared" si="18"/>
        <v>1.3849979225015601</v>
      </c>
      <c r="F62">
        <f t="shared" si="19"/>
        <v>27699.958450031198</v>
      </c>
      <c r="J62">
        <f t="shared" si="20"/>
        <v>1.7159403235889863E-3</v>
      </c>
      <c r="K62">
        <f t="shared" si="21"/>
        <v>1.0555503114880913E-3</v>
      </c>
      <c r="L62">
        <f t="shared" si="22"/>
        <v>0.72755869720173016</v>
      </c>
      <c r="M62">
        <f t="shared" si="23"/>
        <v>18976.26127980831</v>
      </c>
      <c r="P62">
        <f t="shared" si="17"/>
        <v>424</v>
      </c>
      <c r="Q62">
        <f t="shared" si="14"/>
        <v>3.2665045342017925E-3</v>
      </c>
      <c r="R62">
        <f t="shared" si="15"/>
        <v>1.5408040255668832E-3</v>
      </c>
      <c r="S62">
        <f t="shared" si="24"/>
        <v>1.3849979225015601</v>
      </c>
      <c r="T62">
        <f t="shared" si="25"/>
        <v>27699.958450031198</v>
      </c>
      <c r="X62">
        <f t="shared" si="26"/>
        <v>1.7159403235889863E-3</v>
      </c>
      <c r="Y62">
        <f t="shared" si="27"/>
        <v>1.0555503114880913E-3</v>
      </c>
      <c r="Z62">
        <f t="shared" si="28"/>
        <v>0.72755869720173016</v>
      </c>
      <c r="AA62">
        <f t="shared" si="29"/>
        <v>18976.26127980831</v>
      </c>
    </row>
    <row r="63" spans="2:27" x14ac:dyDescent="0.3">
      <c r="B63">
        <f t="shared" si="16"/>
        <v>424.25</v>
      </c>
      <c r="C63">
        <f t="shared" si="12"/>
        <v>5.8986358190990483E-3</v>
      </c>
      <c r="D63">
        <f t="shared" si="13"/>
        <v>2.7807358015788093E-3</v>
      </c>
      <c r="E63">
        <f t="shared" si="18"/>
        <v>2.5024962462527713</v>
      </c>
      <c r="F63">
        <f t="shared" si="19"/>
        <v>50049.924925055435</v>
      </c>
      <c r="J63">
        <f t="shared" si="20"/>
        <v>3.0900641786734879E-3</v>
      </c>
      <c r="K63">
        <f t="shared" si="21"/>
        <v>1.9907599122681195E-3</v>
      </c>
      <c r="L63">
        <f t="shared" si="22"/>
        <v>1.3109597278022271</v>
      </c>
      <c r="M63">
        <f t="shared" si="23"/>
        <v>35831.301951180882</v>
      </c>
      <c r="P63">
        <f t="shared" si="17"/>
        <v>424.25</v>
      </c>
      <c r="Q63">
        <f t="shared" si="14"/>
        <v>5.8986358190990483E-3</v>
      </c>
      <c r="R63">
        <f t="shared" si="15"/>
        <v>2.7807358015788093E-3</v>
      </c>
      <c r="S63">
        <f t="shared" si="24"/>
        <v>2.5024962462527713</v>
      </c>
      <c r="T63">
        <f t="shared" si="25"/>
        <v>50049.924925055435</v>
      </c>
      <c r="X63">
        <f t="shared" si="26"/>
        <v>3.0900641786734879E-3</v>
      </c>
      <c r="Y63">
        <f t="shared" si="27"/>
        <v>1.9907599122681195E-3</v>
      </c>
      <c r="Z63">
        <f t="shared" si="28"/>
        <v>1.3109597278022271</v>
      </c>
      <c r="AA63">
        <f t="shared" si="29"/>
        <v>35831.301951180882</v>
      </c>
    </row>
    <row r="64" spans="2:27" x14ac:dyDescent="0.3">
      <c r="B64">
        <f t="shared" si="16"/>
        <v>424.5</v>
      </c>
      <c r="C64">
        <f t="shared" si="12"/>
        <v>1.014721681685448E-2</v>
      </c>
      <c r="D64">
        <f t="shared" si="13"/>
        <v>4.7807853082942201E-3</v>
      </c>
      <c r="E64">
        <f t="shared" si="18"/>
        <v>4.3074935387547271</v>
      </c>
      <c r="F64">
        <f t="shared" si="19"/>
        <v>86149.870775094547</v>
      </c>
      <c r="J64">
        <f t="shared" si="20"/>
        <v>5.1862160562511916E-3</v>
      </c>
      <c r="K64">
        <f t="shared" si="21"/>
        <v>3.5166109479341915E-3</v>
      </c>
      <c r="L64">
        <f t="shared" si="22"/>
        <v>2.2015487158786309</v>
      </c>
      <c r="M64">
        <f t="shared" si="23"/>
        <v>63369.417197047835</v>
      </c>
      <c r="P64">
        <f t="shared" si="17"/>
        <v>424.5</v>
      </c>
      <c r="Q64">
        <f t="shared" si="14"/>
        <v>1.014721681685448E-2</v>
      </c>
      <c r="R64">
        <f t="shared" si="15"/>
        <v>4.7807853082942201E-3</v>
      </c>
      <c r="S64">
        <f t="shared" si="24"/>
        <v>4.3074935387547271</v>
      </c>
      <c r="T64">
        <f t="shared" si="25"/>
        <v>86149.870775094547</v>
      </c>
      <c r="X64">
        <f t="shared" si="26"/>
        <v>5.1862160562511916E-3</v>
      </c>
      <c r="Y64">
        <f t="shared" si="27"/>
        <v>3.5166109479341915E-3</v>
      </c>
      <c r="Z64">
        <f t="shared" si="28"/>
        <v>2.2015487158786309</v>
      </c>
      <c r="AA64">
        <f t="shared" si="29"/>
        <v>63369.417197047835</v>
      </c>
    </row>
    <row r="65" spans="2:27" x14ac:dyDescent="0.3">
      <c r="B65">
        <f t="shared" si="16"/>
        <v>424.75</v>
      </c>
      <c r="C65">
        <f t="shared" si="12"/>
        <v>1.6162424255462968E-2</v>
      </c>
      <c r="D65">
        <f t="shared" si="13"/>
        <v>7.6103233692586076E-3</v>
      </c>
      <c r="E65">
        <f t="shared" si="18"/>
        <v>6.8649897025078959</v>
      </c>
      <c r="F65">
        <f t="shared" si="19"/>
        <v>137299.79405015789</v>
      </c>
      <c r="J65">
        <f t="shared" si="20"/>
        <v>8.2264248671887041E-3</v>
      </c>
      <c r="K65">
        <f t="shared" si="21"/>
        <v>5.8928704844918569E-3</v>
      </c>
      <c r="L65">
        <f t="shared" si="22"/>
        <v>3.4941739623384023</v>
      </c>
      <c r="M65">
        <f t="shared" si="23"/>
        <v>106314.78645877923</v>
      </c>
      <c r="P65">
        <f t="shared" si="17"/>
        <v>424.75</v>
      </c>
      <c r="Q65">
        <f t="shared" si="14"/>
        <v>1.6162424255462968E-2</v>
      </c>
      <c r="R65">
        <f t="shared" si="15"/>
        <v>7.6103233692586076E-3</v>
      </c>
      <c r="S65">
        <f t="shared" si="24"/>
        <v>6.8649897025078959</v>
      </c>
      <c r="T65">
        <f t="shared" si="25"/>
        <v>137299.79405015789</v>
      </c>
      <c r="X65">
        <f t="shared" si="26"/>
        <v>8.2264248671887041E-3</v>
      </c>
      <c r="Y65">
        <f t="shared" si="27"/>
        <v>5.8928704844918569E-3</v>
      </c>
      <c r="Z65">
        <f t="shared" si="28"/>
        <v>3.4941739623384023</v>
      </c>
      <c r="AA65">
        <f t="shared" si="29"/>
        <v>106314.78645877923</v>
      </c>
    </row>
    <row r="66" spans="2:27" x14ac:dyDescent="0.3">
      <c r="B66">
        <f t="shared" si="16"/>
        <v>425</v>
      </c>
      <c r="C66">
        <f t="shared" si="12"/>
        <v>2.4111728538264307E-2</v>
      </c>
      <c r="D66">
        <f t="shared" si="13"/>
        <v>1.1346695782712616E-2</v>
      </c>
      <c r="E66">
        <f t="shared" si="18"/>
        <v>10.247484628762331</v>
      </c>
      <c r="F66">
        <f t="shared" si="19"/>
        <v>204949.69257524662</v>
      </c>
      <c r="J66">
        <f t="shared" si="20"/>
        <v>1.2304607348190159E-2</v>
      </c>
      <c r="K66">
        <f t="shared" si="21"/>
        <v>9.3498950882225287E-3</v>
      </c>
      <c r="L66">
        <f t="shared" si="22"/>
        <v>5.2294581229808177</v>
      </c>
      <c r="M66">
        <f t="shared" si="23"/>
        <v>168882.48003101943</v>
      </c>
      <c r="P66">
        <f t="shared" si="17"/>
        <v>425</v>
      </c>
      <c r="Q66">
        <f t="shared" si="14"/>
        <v>2.4111728538264307E-2</v>
      </c>
      <c r="R66">
        <f t="shared" si="15"/>
        <v>1.1346695782712616E-2</v>
      </c>
      <c r="S66">
        <f t="shared" si="24"/>
        <v>10.247484628762331</v>
      </c>
      <c r="T66">
        <f t="shared" si="25"/>
        <v>204949.69257524662</v>
      </c>
      <c r="X66">
        <f t="shared" si="26"/>
        <v>1.2304607348190159E-2</v>
      </c>
      <c r="Y66">
        <f t="shared" si="27"/>
        <v>9.3498950882225287E-3</v>
      </c>
      <c r="Z66">
        <f t="shared" si="28"/>
        <v>5.2294581229808177</v>
      </c>
      <c r="AA66">
        <f t="shared" si="29"/>
        <v>168882.48003101943</v>
      </c>
    </row>
    <row r="67" spans="2:27" x14ac:dyDescent="0.3">
      <c r="B67">
        <f t="shared" si="16"/>
        <v>425.25</v>
      </c>
      <c r="C67">
        <f t="shared" si="12"/>
        <v>3.442087723402254E-2</v>
      </c>
      <c r="D67">
        <f t="shared" si="13"/>
        <v>1.6188537205889496E-2</v>
      </c>
      <c r="E67">
        <f t="shared" si="18"/>
        <v>14.637478043768086</v>
      </c>
      <c r="F67">
        <f t="shared" si="19"/>
        <v>292749.56087536167</v>
      </c>
      <c r="J67">
        <f t="shared" si="20"/>
        <v>1.7316760778373817E-2</v>
      </c>
      <c r="K67">
        <f t="shared" si="21"/>
        <v>1.4096910544863211E-2</v>
      </c>
      <c r="L67">
        <f t="shared" si="22"/>
        <v>7.3639525210034655</v>
      </c>
      <c r="M67">
        <f t="shared" si="23"/>
        <v>254925.09417136098</v>
      </c>
      <c r="P67">
        <f t="shared" si="17"/>
        <v>425.25</v>
      </c>
      <c r="Q67">
        <f t="shared" si="14"/>
        <v>3.442087723402254E-2</v>
      </c>
      <c r="R67">
        <f t="shared" si="15"/>
        <v>1.6188537205889496E-2</v>
      </c>
      <c r="S67">
        <f t="shared" si="24"/>
        <v>14.637478043768086</v>
      </c>
      <c r="T67">
        <f t="shared" si="25"/>
        <v>292749.56087536167</v>
      </c>
      <c r="X67">
        <f t="shared" si="26"/>
        <v>1.7316760778373817E-2</v>
      </c>
      <c r="Y67">
        <f t="shared" si="27"/>
        <v>1.4096910544863211E-2</v>
      </c>
      <c r="Z67">
        <f t="shared" si="28"/>
        <v>7.3639525210034655</v>
      </c>
      <c r="AA67">
        <f t="shared" si="29"/>
        <v>254925.09417136098</v>
      </c>
    </row>
    <row r="68" spans="2:27" x14ac:dyDescent="0.3">
      <c r="B68">
        <f t="shared" si="16"/>
        <v>425.5</v>
      </c>
      <c r="C68">
        <f t="shared" si="12"/>
        <v>4.6122139982431559E-2</v>
      </c>
      <c r="D68">
        <f t="shared" si="13"/>
        <v>2.1679031719121767E-2</v>
      </c>
      <c r="E68">
        <f t="shared" si="18"/>
        <v>19.624970562524627</v>
      </c>
      <c r="F68">
        <f t="shared" si="19"/>
        <v>392499.41125049256</v>
      </c>
      <c r="J68">
        <f t="shared" si="20"/>
        <v>2.3103971746614632E-2</v>
      </c>
      <c r="K68">
        <f t="shared" si="21"/>
        <v>2.0288942190570796E-2</v>
      </c>
      <c r="L68">
        <f t="shared" si="22"/>
        <v>9.8307399781845266</v>
      </c>
      <c r="M68">
        <f t="shared" si="23"/>
        <v>367331.80558383901</v>
      </c>
      <c r="P68">
        <f t="shared" si="17"/>
        <v>425.5</v>
      </c>
      <c r="Q68">
        <f t="shared" si="14"/>
        <v>4.6122139982431559E-2</v>
      </c>
      <c r="R68">
        <f t="shared" si="15"/>
        <v>2.1679031719121767E-2</v>
      </c>
      <c r="S68">
        <f t="shared" si="24"/>
        <v>19.624970562524627</v>
      </c>
      <c r="T68">
        <f t="shared" si="25"/>
        <v>392499.41125049256</v>
      </c>
      <c r="X68">
        <f t="shared" si="26"/>
        <v>2.3103971746614632E-2</v>
      </c>
      <c r="Y68">
        <f t="shared" si="27"/>
        <v>2.0288942190570796E-2</v>
      </c>
      <c r="Z68">
        <f t="shared" si="28"/>
        <v>9.8307399781845266</v>
      </c>
      <c r="AA68">
        <f t="shared" si="29"/>
        <v>367331.80558383901</v>
      </c>
    </row>
    <row r="69" spans="2:27" x14ac:dyDescent="0.3">
      <c r="B69">
        <f t="shared" si="16"/>
        <v>425.75</v>
      </c>
      <c r="C69">
        <f t="shared" si="12"/>
        <v>5.9183704530315753E-2</v>
      </c>
      <c r="D69">
        <f t="shared" si="13"/>
        <v>2.7802092556813037E-2</v>
      </c>
      <c r="E69">
        <f t="shared" si="18"/>
        <v>25.197462203781932</v>
      </c>
      <c r="F69">
        <f t="shared" si="19"/>
        <v>503949.24407563865</v>
      </c>
      <c r="J69">
        <f t="shared" si="20"/>
        <v>2.9545982037306441E-2</v>
      </c>
      <c r="K69">
        <f t="shared" si="21"/>
        <v>2.8074417378729736E-2</v>
      </c>
      <c r="L69">
        <f t="shared" si="22"/>
        <v>12.579201852383218</v>
      </c>
      <c r="M69">
        <f t="shared" si="23"/>
        <v>508885.48719717743</v>
      </c>
      <c r="P69">
        <f t="shared" si="17"/>
        <v>425.75</v>
      </c>
      <c r="Q69">
        <f t="shared" si="14"/>
        <v>5.9183704530315753E-2</v>
      </c>
      <c r="R69">
        <f t="shared" si="15"/>
        <v>2.7802092556813037E-2</v>
      </c>
      <c r="S69">
        <f t="shared" si="24"/>
        <v>25.197462203781932</v>
      </c>
      <c r="T69">
        <f t="shared" si="25"/>
        <v>503949.24407563865</v>
      </c>
      <c r="X69">
        <f t="shared" si="26"/>
        <v>2.9545982037306441E-2</v>
      </c>
      <c r="Y69">
        <f t="shared" si="27"/>
        <v>2.8074417378729736E-2</v>
      </c>
      <c r="Z69">
        <f t="shared" si="28"/>
        <v>12.579201852383218</v>
      </c>
      <c r="AA69">
        <f t="shared" si="29"/>
        <v>508885.48719717743</v>
      </c>
    </row>
    <row r="70" spans="2:27" x14ac:dyDescent="0.3">
      <c r="B70">
        <f t="shared" si="16"/>
        <v>426</v>
      </c>
      <c r="C70">
        <f t="shared" si="12"/>
        <v>7.2030408386242098E-2</v>
      </c>
      <c r="D70">
        <f t="shared" si="13"/>
        <v>3.3817093139080802E-2</v>
      </c>
      <c r="E70">
        <f t="shared" si="18"/>
        <v>30.684953972539134</v>
      </c>
      <c r="F70">
        <f t="shared" si="19"/>
        <v>613699.07945078274</v>
      </c>
      <c r="J70">
        <f t="shared" si="20"/>
        <v>3.5956855690387285E-2</v>
      </c>
      <c r="K70">
        <f t="shared" si="21"/>
        <v>3.7284971431463351E-2</v>
      </c>
      <c r="L70">
        <f t="shared" si="22"/>
        <v>15.317620524104983</v>
      </c>
      <c r="M70">
        <f t="shared" si="23"/>
        <v>676632.7475496243</v>
      </c>
      <c r="P70">
        <f t="shared" si="17"/>
        <v>426</v>
      </c>
      <c r="Q70">
        <f t="shared" si="14"/>
        <v>7.2030408386242098E-2</v>
      </c>
      <c r="R70">
        <f t="shared" si="15"/>
        <v>3.3817093139080802E-2</v>
      </c>
      <c r="S70">
        <f t="shared" si="24"/>
        <v>30.684953972539134</v>
      </c>
      <c r="T70">
        <f t="shared" si="25"/>
        <v>613699.07945078274</v>
      </c>
      <c r="X70">
        <f t="shared" si="26"/>
        <v>3.5956855690387285E-2</v>
      </c>
      <c r="Y70">
        <f t="shared" si="27"/>
        <v>3.7284971431463351E-2</v>
      </c>
      <c r="Z70">
        <f t="shared" si="28"/>
        <v>15.317620524104983</v>
      </c>
      <c r="AA70">
        <f t="shared" si="29"/>
        <v>676632.7475496243</v>
      </c>
    </row>
    <row r="71" spans="2:27" x14ac:dyDescent="0.3">
      <c r="B71">
        <f t="shared" si="16"/>
        <v>426.25</v>
      </c>
      <c r="C71">
        <f t="shared" si="12"/>
        <v>8.3571722149667099E-2</v>
      </c>
      <c r="D71">
        <f t="shared" si="13"/>
        <v>3.9212538252043211E-2</v>
      </c>
      <c r="E71">
        <f t="shared" si="18"/>
        <v>35.622446566295601</v>
      </c>
      <c r="F71">
        <f t="shared" si="19"/>
        <v>712448.93132591189</v>
      </c>
      <c r="J71">
        <f t="shared" si="20"/>
        <v>4.1674531305713136E-2</v>
      </c>
      <c r="K71">
        <f t="shared" si="21"/>
        <v>4.775418033523135E-2</v>
      </c>
      <c r="L71">
        <f t="shared" si="22"/>
        <v>17.763768969060223</v>
      </c>
      <c r="M71">
        <f t="shared" si="23"/>
        <v>867641.2255564119</v>
      </c>
      <c r="P71">
        <f t="shared" si="17"/>
        <v>426.25</v>
      </c>
      <c r="Q71">
        <f t="shared" si="14"/>
        <v>8.3571722149667099E-2</v>
      </c>
      <c r="R71">
        <f t="shared" si="15"/>
        <v>3.9212538252043211E-2</v>
      </c>
      <c r="S71">
        <f t="shared" si="24"/>
        <v>35.622446566295601</v>
      </c>
      <c r="T71">
        <f t="shared" si="25"/>
        <v>712448.93132591189</v>
      </c>
      <c r="X71">
        <f t="shared" si="26"/>
        <v>4.1674531305713136E-2</v>
      </c>
      <c r="Y71">
        <f t="shared" si="27"/>
        <v>4.775418033523135E-2</v>
      </c>
      <c r="Z71">
        <f t="shared" si="28"/>
        <v>17.763768969060223</v>
      </c>
      <c r="AA71">
        <f t="shared" si="29"/>
        <v>867641.2255564119</v>
      </c>
    </row>
    <row r="72" spans="2:27" x14ac:dyDescent="0.3">
      <c r="B72">
        <f t="shared" si="16"/>
        <v>426.5</v>
      </c>
      <c r="C72">
        <f t="shared" si="12"/>
        <v>9.3628230014774341E-2</v>
      </c>
      <c r="D72">
        <f t="shared" si="13"/>
        <v>4.3905383359800397E-2</v>
      </c>
      <c r="E72">
        <f t="shared" si="18"/>
        <v>39.932440101301253</v>
      </c>
      <c r="F72">
        <f t="shared" si="19"/>
        <v>798648.80202602514</v>
      </c>
      <c r="J72">
        <f t="shared" si="20"/>
        <v>4.6590087949963194E-2</v>
      </c>
      <c r="K72">
        <f t="shared" si="21"/>
        <v>5.9259647263382481E-2</v>
      </c>
      <c r="L72">
        <f t="shared" si="22"/>
        <v>19.870672510659301</v>
      </c>
      <c r="M72">
        <f t="shared" si="23"/>
        <v>1077946.3171415615</v>
      </c>
      <c r="P72">
        <f t="shared" si="17"/>
        <v>426.5</v>
      </c>
      <c r="Q72">
        <f t="shared" si="14"/>
        <v>9.3628230014774341E-2</v>
      </c>
      <c r="R72">
        <f t="shared" si="15"/>
        <v>4.3905383359800397E-2</v>
      </c>
      <c r="S72">
        <f t="shared" si="24"/>
        <v>39.932440101301253</v>
      </c>
      <c r="T72">
        <f t="shared" si="25"/>
        <v>798648.80202602514</v>
      </c>
      <c r="X72">
        <f t="shared" si="26"/>
        <v>4.6590087949963194E-2</v>
      </c>
      <c r="Y72">
        <f t="shared" si="27"/>
        <v>5.9259647263382481E-2</v>
      </c>
      <c r="Z72">
        <f t="shared" si="28"/>
        <v>19.870672510659301</v>
      </c>
      <c r="AA72">
        <f t="shared" si="29"/>
        <v>1077946.3171415615</v>
      </c>
    </row>
    <row r="73" spans="2:27" x14ac:dyDescent="0.3">
      <c r="B73">
        <f t="shared" si="16"/>
        <v>426.75</v>
      </c>
      <c r="C73">
        <f t="shared" si="12"/>
        <v>0.10137653217645329</v>
      </c>
      <c r="D73">
        <f t="shared" si="13"/>
        <v>4.7499987950015449E-2</v>
      </c>
      <c r="E73">
        <f t="shared" si="18"/>
        <v>43.262435106301439</v>
      </c>
      <c r="F73">
        <f t="shared" si="19"/>
        <v>865048.70242602844</v>
      </c>
      <c r="J73">
        <f t="shared" si="20"/>
        <v>5.0559963802412677E-2</v>
      </c>
      <c r="K73">
        <f t="shared" si="21"/>
        <v>7.1565335011565478E-2</v>
      </c>
      <c r="L73">
        <f t="shared" si="22"/>
        <v>21.57646455267961</v>
      </c>
      <c r="M73">
        <f t="shared" si="23"/>
        <v>1303316.1241132191</v>
      </c>
      <c r="P73">
        <f t="shared" si="17"/>
        <v>426.75</v>
      </c>
      <c r="Q73">
        <f t="shared" si="14"/>
        <v>0.10137653217645329</v>
      </c>
      <c r="R73">
        <f t="shared" si="15"/>
        <v>4.7499987950015449E-2</v>
      </c>
      <c r="S73">
        <f t="shared" si="24"/>
        <v>43.262435106301439</v>
      </c>
      <c r="T73">
        <f t="shared" si="25"/>
        <v>865048.70242602844</v>
      </c>
      <c r="X73">
        <f t="shared" si="26"/>
        <v>5.0559963802412677E-2</v>
      </c>
      <c r="Y73">
        <f t="shared" si="27"/>
        <v>7.1565335011565478E-2</v>
      </c>
      <c r="Z73">
        <f t="shared" si="28"/>
        <v>21.57646455267961</v>
      </c>
      <c r="AA73">
        <f t="shared" si="29"/>
        <v>1303316.1241132191</v>
      </c>
    </row>
    <row r="74" spans="2:27" x14ac:dyDescent="0.3">
      <c r="B74">
        <f t="shared" si="16"/>
        <v>427</v>
      </c>
      <c r="C74">
        <f t="shared" si="12"/>
        <v>0.10728321144039844</v>
      </c>
      <c r="D74">
        <f t="shared" si="13"/>
        <v>5.0211355667557099E-2</v>
      </c>
      <c r="E74">
        <f t="shared" si="18"/>
        <v>45.809931285050133</v>
      </c>
      <c r="F74">
        <f t="shared" si="19"/>
        <v>915498.62675100169</v>
      </c>
      <c r="J74">
        <f t="shared" si="20"/>
        <v>5.3499622182226647E-2</v>
      </c>
      <c r="K74">
        <f t="shared" si="21"/>
        <v>8.4403157515531263E-2</v>
      </c>
      <c r="L74">
        <f t="shared" si="22"/>
        <v>22.844338671810778</v>
      </c>
      <c r="M74">
        <f t="shared" si="23"/>
        <v>1538914.3306649299</v>
      </c>
      <c r="P74">
        <f t="shared" si="17"/>
        <v>427</v>
      </c>
      <c r="Q74">
        <f t="shared" si="14"/>
        <v>0.10728321144039844</v>
      </c>
      <c r="R74">
        <f t="shared" si="15"/>
        <v>5.0211355667557099E-2</v>
      </c>
      <c r="S74">
        <f t="shared" si="24"/>
        <v>45.809931285050133</v>
      </c>
      <c r="T74">
        <f t="shared" si="25"/>
        <v>915498.62675100169</v>
      </c>
      <c r="X74">
        <f t="shared" si="26"/>
        <v>5.3499622182226647E-2</v>
      </c>
      <c r="Y74">
        <f t="shared" si="27"/>
        <v>8.4403157515531263E-2</v>
      </c>
      <c r="Z74">
        <f t="shared" si="28"/>
        <v>22.844338671810778</v>
      </c>
      <c r="AA74">
        <f t="shared" si="29"/>
        <v>1538914.3306649299</v>
      </c>
    </row>
    <row r="75" spans="2:27" x14ac:dyDescent="0.3">
      <c r="B75">
        <f t="shared" si="16"/>
        <v>427.25</v>
      </c>
      <c r="C75">
        <f t="shared" si="12"/>
        <v>0.11124032465488419</v>
      </c>
      <c r="D75">
        <f t="shared" si="13"/>
        <v>5.1941233035773929E-2</v>
      </c>
      <c r="E75">
        <f t="shared" si="18"/>
        <v>47.52742870879927</v>
      </c>
      <c r="F75">
        <f t="shared" si="19"/>
        <v>948148.57777598256</v>
      </c>
      <c r="J75">
        <f t="shared" si="20"/>
        <v>5.5505825105098133E-2</v>
      </c>
      <c r="K75">
        <f t="shared" si="21"/>
        <v>9.7572563891369743E-2</v>
      </c>
      <c r="L75">
        <f t="shared" si="22"/>
        <v>23.714863776153177</v>
      </c>
      <c r="M75">
        <f t="shared" si="23"/>
        <v>1781114.5842425604</v>
      </c>
      <c r="P75">
        <f t="shared" si="17"/>
        <v>427.25</v>
      </c>
      <c r="Q75">
        <f t="shared" si="14"/>
        <v>0.11124032465488419</v>
      </c>
      <c r="R75">
        <f t="shared" si="15"/>
        <v>5.1941233035773929E-2</v>
      </c>
      <c r="S75">
        <f t="shared" si="24"/>
        <v>47.52742870879927</v>
      </c>
      <c r="T75">
        <f t="shared" si="25"/>
        <v>948148.57777598256</v>
      </c>
      <c r="X75">
        <f t="shared" si="26"/>
        <v>5.5505825105098133E-2</v>
      </c>
      <c r="Y75">
        <f t="shared" si="27"/>
        <v>9.7572563891369743E-2</v>
      </c>
      <c r="Z75">
        <f t="shared" si="28"/>
        <v>23.714863776153177</v>
      </c>
      <c r="AA75">
        <f t="shared" si="29"/>
        <v>1781114.5842425604</v>
      </c>
    </row>
    <row r="76" spans="2:27" x14ac:dyDescent="0.3">
      <c r="B76">
        <f t="shared" si="16"/>
        <v>427.5</v>
      </c>
      <c r="C76">
        <f t="shared" si="12"/>
        <v>0.11377175916678059</v>
      </c>
      <c r="D76">
        <f t="shared" si="13"/>
        <v>5.2925607147551339E-2</v>
      </c>
      <c r="E76">
        <f t="shared" si="18"/>
        <v>48.637427043798702</v>
      </c>
      <c r="F76">
        <f t="shared" si="19"/>
        <v>967248.54912596801</v>
      </c>
      <c r="J76">
        <f t="shared" si="20"/>
        <v>5.6806977415772147E-2</v>
      </c>
      <c r="K76">
        <f t="shared" si="21"/>
        <v>0.11087161288579243</v>
      </c>
      <c r="L76">
        <f t="shared" si="22"/>
        <v>24.284982845242592</v>
      </c>
      <c r="M76">
        <f t="shared" si="23"/>
        <v>2026248.0202459104</v>
      </c>
      <c r="P76">
        <f t="shared" si="17"/>
        <v>427.5</v>
      </c>
      <c r="Q76">
        <f t="shared" si="14"/>
        <v>0.11377175916678059</v>
      </c>
      <c r="R76">
        <f t="shared" si="15"/>
        <v>5.2925607147551339E-2</v>
      </c>
      <c r="S76">
        <f t="shared" si="24"/>
        <v>48.637427043798702</v>
      </c>
      <c r="T76">
        <f t="shared" si="25"/>
        <v>967248.54912596801</v>
      </c>
      <c r="X76">
        <f t="shared" si="26"/>
        <v>5.6806977415772147E-2</v>
      </c>
      <c r="Y76">
        <f t="shared" si="27"/>
        <v>0.11087161288579243</v>
      </c>
      <c r="Z76">
        <f t="shared" si="28"/>
        <v>24.284982845242592</v>
      </c>
      <c r="AA76">
        <f t="shared" si="29"/>
        <v>2026248.0202459104</v>
      </c>
    </row>
    <row r="77" spans="2:27" x14ac:dyDescent="0.3">
      <c r="B77">
        <f t="shared" si="16"/>
        <v>427.75</v>
      </c>
      <c r="C77">
        <f t="shared" si="12"/>
        <v>0.11521899724733695</v>
      </c>
      <c r="D77">
        <f t="shared" si="13"/>
        <v>5.3096038197557684E-2</v>
      </c>
      <c r="E77">
        <f t="shared" si="18"/>
        <v>49.28492607254838</v>
      </c>
      <c r="F77">
        <f t="shared" si="19"/>
        <v>971498.5427509516</v>
      </c>
      <c r="J77">
        <f t="shared" si="20"/>
        <v>5.7568532557815744E-2</v>
      </c>
      <c r="K77">
        <f t="shared" si="21"/>
        <v>0.12411177378890592</v>
      </c>
      <c r="L77">
        <f t="shared" si="22"/>
        <v>24.624939801605684</v>
      </c>
      <c r="M77">
        <f t="shared" si="23"/>
        <v>2270873.9007141981</v>
      </c>
      <c r="P77">
        <f t="shared" si="17"/>
        <v>427.75</v>
      </c>
      <c r="Q77">
        <f t="shared" si="14"/>
        <v>0.11521899724733695</v>
      </c>
      <c r="R77">
        <f t="shared" si="15"/>
        <v>5.3096038197557684E-2</v>
      </c>
      <c r="S77">
        <f t="shared" si="24"/>
        <v>49.28492607254838</v>
      </c>
      <c r="T77">
        <f t="shared" si="25"/>
        <v>971498.5427509516</v>
      </c>
      <c r="X77">
        <f t="shared" si="26"/>
        <v>5.7568532557815744E-2</v>
      </c>
      <c r="Y77">
        <f t="shared" si="27"/>
        <v>0.12411177378890592</v>
      </c>
      <c r="Z77">
        <f t="shared" si="28"/>
        <v>24.624939801605684</v>
      </c>
      <c r="AA77">
        <f t="shared" si="29"/>
        <v>2270873.9007141981</v>
      </c>
    </row>
    <row r="78" spans="2:27" x14ac:dyDescent="0.3">
      <c r="B78">
        <f t="shared" si="16"/>
        <v>428</v>
      </c>
      <c r="C78">
        <f t="shared" si="12"/>
        <v>0.11604538667943501</v>
      </c>
      <c r="D78">
        <f t="shared" si="13"/>
        <v>5.2589121046375774E-2</v>
      </c>
      <c r="E78">
        <f t="shared" si="18"/>
        <v>49.667425498798181</v>
      </c>
      <c r="F78">
        <f t="shared" si="19"/>
        <v>963348.55497593002</v>
      </c>
      <c r="J78">
        <f t="shared" si="20"/>
        <v>5.7988576303949685E-2</v>
      </c>
      <c r="K78">
        <f t="shared" si="21"/>
        <v>0.13712049899175358</v>
      </c>
      <c r="L78">
        <f t="shared" si="22"/>
        <v>24.819110658090466</v>
      </c>
      <c r="M78">
        <f t="shared" si="23"/>
        <v>2511828.1487305388</v>
      </c>
      <c r="P78">
        <f t="shared" si="17"/>
        <v>428</v>
      </c>
      <c r="Q78">
        <f t="shared" si="14"/>
        <v>0.11604538667943501</v>
      </c>
      <c r="R78">
        <f t="shared" si="15"/>
        <v>5.2589121046375774E-2</v>
      </c>
      <c r="S78">
        <f t="shared" si="24"/>
        <v>49.667425498798181</v>
      </c>
      <c r="T78">
        <f t="shared" si="25"/>
        <v>963348.55497593002</v>
      </c>
      <c r="X78">
        <f t="shared" si="26"/>
        <v>5.7988576303949685E-2</v>
      </c>
      <c r="Y78">
        <f t="shared" si="27"/>
        <v>0.13712049899175358</v>
      </c>
      <c r="Z78">
        <f t="shared" si="28"/>
        <v>24.819110658090466</v>
      </c>
      <c r="AA78">
        <f t="shared" si="29"/>
        <v>2511828.1487305388</v>
      </c>
    </row>
    <row r="79" spans="2:27" x14ac:dyDescent="0.3">
      <c r="B79">
        <f t="shared" si="16"/>
        <v>428.25</v>
      </c>
      <c r="C79">
        <f t="shared" si="12"/>
        <v>0.11645049666094123</v>
      </c>
      <c r="D79">
        <f t="shared" si="13"/>
        <v>5.1292722296392743E-2</v>
      </c>
      <c r="E79">
        <f t="shared" si="18"/>
        <v>49.869925195048083</v>
      </c>
      <c r="F79">
        <f t="shared" si="19"/>
        <v>940698.58895089803</v>
      </c>
      <c r="J79">
        <f t="shared" si="20"/>
        <v>5.8200394085832996E-2</v>
      </c>
      <c r="K79">
        <f t="shared" si="21"/>
        <v>0.14964471965737317</v>
      </c>
      <c r="L79">
        <f t="shared" si="22"/>
        <v>24.924318767257979</v>
      </c>
      <c r="M79">
        <f t="shared" si="23"/>
        <v>2744455.1648517903</v>
      </c>
      <c r="P79">
        <f t="shared" si="17"/>
        <v>428.25</v>
      </c>
      <c r="Q79">
        <f t="shared" si="14"/>
        <v>0.11645049666094123</v>
      </c>
      <c r="R79">
        <f t="shared" si="15"/>
        <v>5.1292722296392743E-2</v>
      </c>
      <c r="S79">
        <f t="shared" si="24"/>
        <v>49.869925195048083</v>
      </c>
      <c r="T79">
        <f t="shared" si="25"/>
        <v>940698.58895089803</v>
      </c>
      <c r="X79">
        <f t="shared" si="26"/>
        <v>5.8200394085832996E-2</v>
      </c>
      <c r="Y79">
        <f t="shared" si="27"/>
        <v>0.14964471965737317</v>
      </c>
      <c r="Z79">
        <f t="shared" si="28"/>
        <v>24.924318767257979</v>
      </c>
      <c r="AA79">
        <f t="shared" si="29"/>
        <v>2744455.1648517903</v>
      </c>
    </row>
    <row r="80" spans="2:27" x14ac:dyDescent="0.3">
      <c r="B80">
        <f t="shared" si="16"/>
        <v>428.5</v>
      </c>
      <c r="C80">
        <f t="shared" si="12"/>
        <v>0.11655175049311095</v>
      </c>
      <c r="D80">
        <f t="shared" si="13"/>
        <v>4.8866491975663298E-2</v>
      </c>
      <c r="E80">
        <f t="shared" si="18"/>
        <v>49.942425086298044</v>
      </c>
      <c r="F80">
        <f t="shared" si="19"/>
        <v>897248.65412584844</v>
      </c>
      <c r="J80">
        <f t="shared" si="20"/>
        <v>5.8274905831474988E-2</v>
      </c>
      <c r="K80">
        <f t="shared" si="21"/>
        <v>0.16136129034573218</v>
      </c>
      <c r="L80">
        <f t="shared" si="22"/>
        <v>24.970797148787032</v>
      </c>
      <c r="M80">
        <f t="shared" si="23"/>
        <v>2962790.958328316</v>
      </c>
      <c r="P80">
        <f t="shared" si="17"/>
        <v>428.5</v>
      </c>
      <c r="Q80">
        <f t="shared" si="14"/>
        <v>0.11655175049311095</v>
      </c>
      <c r="R80">
        <f t="shared" si="15"/>
        <v>4.8866491975663298E-2</v>
      </c>
      <c r="S80">
        <f t="shared" si="24"/>
        <v>49.942425086298044</v>
      </c>
      <c r="T80">
        <f t="shared" si="25"/>
        <v>897248.65412584844</v>
      </c>
      <c r="X80">
        <f t="shared" si="26"/>
        <v>5.8274905831474988E-2</v>
      </c>
      <c r="Y80">
        <f t="shared" si="27"/>
        <v>0.16136129034573218</v>
      </c>
      <c r="Z80">
        <f t="shared" si="28"/>
        <v>24.970797148787032</v>
      </c>
      <c r="AA80">
        <f t="shared" si="29"/>
        <v>2962790.958328316</v>
      </c>
    </row>
    <row r="81" spans="2:27" x14ac:dyDescent="0.3">
      <c r="B81">
        <f t="shared" si="16"/>
        <v>428.75</v>
      </c>
      <c r="C81">
        <f t="shared" si="12"/>
        <v>0.11657708460944144</v>
      </c>
      <c r="D81">
        <f t="shared" si="13"/>
        <v>4.4952630851472844E-2</v>
      </c>
      <c r="E81">
        <f t="shared" si="18"/>
        <v>49.982425026298017</v>
      </c>
      <c r="F81">
        <f t="shared" si="19"/>
        <v>826348.7604757701</v>
      </c>
      <c r="J81">
        <f t="shared" si="20"/>
        <v>5.8283028677885707E-2</v>
      </c>
      <c r="K81">
        <f t="shared" si="21"/>
        <v>0.17190539655468506</v>
      </c>
      <c r="L81">
        <f t="shared" si="22"/>
        <v>24.988848545643496</v>
      </c>
      <c r="M81">
        <f t="shared" si="23"/>
        <v>3160077.8123847097</v>
      </c>
      <c r="P81">
        <f t="shared" si="17"/>
        <v>428.75</v>
      </c>
      <c r="Q81">
        <f t="shared" si="14"/>
        <v>0.11657708460944144</v>
      </c>
      <c r="R81">
        <f t="shared" si="15"/>
        <v>4.4952630851472844E-2</v>
      </c>
      <c r="S81">
        <f t="shared" si="24"/>
        <v>49.982425026298017</v>
      </c>
      <c r="T81">
        <f t="shared" si="25"/>
        <v>826348.7604757701</v>
      </c>
      <c r="X81">
        <f t="shared" si="26"/>
        <v>5.8283028677885707E-2</v>
      </c>
      <c r="Y81">
        <f t="shared" si="27"/>
        <v>0.17190539655468506</v>
      </c>
      <c r="Z81">
        <f t="shared" si="28"/>
        <v>24.988848545643496</v>
      </c>
      <c r="AA81">
        <f t="shared" si="29"/>
        <v>3160077.8123847097</v>
      </c>
    </row>
    <row r="82" spans="2:27" x14ac:dyDescent="0.3">
      <c r="B82">
        <f t="shared" si="16"/>
        <v>429</v>
      </c>
      <c r="C82">
        <f t="shared" si="12"/>
        <v>0.11653828673088117</v>
      </c>
      <c r="D82">
        <f t="shared" si="13"/>
        <v>3.9333567745808963E-2</v>
      </c>
      <c r="E82">
        <f t="shared" si="18"/>
        <v>49.994925007548019</v>
      </c>
      <c r="F82">
        <f t="shared" si="19"/>
        <v>723898.9141506427</v>
      </c>
      <c r="J82">
        <f t="shared" si="20"/>
        <v>5.8266734902749306E-2</v>
      </c>
      <c r="K82">
        <f t="shared" si="21"/>
        <v>0.18077627713193653</v>
      </c>
      <c r="L82">
        <f t="shared" si="22"/>
        <v>24.996429273279453</v>
      </c>
      <c r="M82">
        <f t="shared" si="23"/>
        <v>3327024.6819638736</v>
      </c>
      <c r="P82">
        <f t="shared" si="17"/>
        <v>429</v>
      </c>
      <c r="Q82">
        <f t="shared" si="14"/>
        <v>0.11653828673088117</v>
      </c>
      <c r="R82">
        <f t="shared" si="15"/>
        <v>3.9333567745808963E-2</v>
      </c>
      <c r="S82">
        <f t="shared" si="24"/>
        <v>49.994925007548019</v>
      </c>
      <c r="T82">
        <f t="shared" si="25"/>
        <v>723898.9141506427</v>
      </c>
      <c r="X82">
        <f t="shared" si="26"/>
        <v>5.8266734902749306E-2</v>
      </c>
      <c r="Y82">
        <f t="shared" si="27"/>
        <v>0.18077627713193653</v>
      </c>
      <c r="Z82">
        <f t="shared" si="28"/>
        <v>24.996429273279453</v>
      </c>
      <c r="AA82">
        <f t="shared" si="29"/>
        <v>3327024.6819638736</v>
      </c>
    </row>
    <row r="83" spans="2:27" x14ac:dyDescent="0.3">
      <c r="B83">
        <f t="shared" si="16"/>
        <v>429.25</v>
      </c>
      <c r="C83">
        <f t="shared" si="12"/>
        <v>0.11648206173569718</v>
      </c>
      <c r="D83">
        <f t="shared" si="13"/>
        <v>3.2026122134058609E-2</v>
      </c>
      <c r="E83">
        <f t="shared" si="18"/>
        <v>49.999925000048016</v>
      </c>
      <c r="F83">
        <f t="shared" si="19"/>
        <v>590099.11485046695</v>
      </c>
      <c r="J83">
        <f t="shared" si="20"/>
        <v>5.8239414661261424E-2</v>
      </c>
      <c r="K83">
        <f t="shared" si="21"/>
        <v>0.18753378323791553</v>
      </c>
      <c r="L83">
        <f t="shared" si="22"/>
        <v>24.999268743346466</v>
      </c>
      <c r="M83">
        <f t="shared" si="23"/>
        <v>3455414.2718255199</v>
      </c>
      <c r="P83">
        <f t="shared" si="17"/>
        <v>429.25</v>
      </c>
      <c r="Q83">
        <f t="shared" si="14"/>
        <v>0.11648206173569718</v>
      </c>
      <c r="R83">
        <f t="shared" si="15"/>
        <v>3.2026122134058609E-2</v>
      </c>
      <c r="S83">
        <f t="shared" si="24"/>
        <v>49.999925000048016</v>
      </c>
      <c r="T83">
        <f t="shared" si="25"/>
        <v>590099.11485046695</v>
      </c>
      <c r="X83">
        <f t="shared" si="26"/>
        <v>5.8239414661261424E-2</v>
      </c>
      <c r="Y83">
        <f t="shared" si="27"/>
        <v>0.18753378323791553</v>
      </c>
      <c r="Z83">
        <f t="shared" si="28"/>
        <v>24.999268743346466</v>
      </c>
      <c r="AA83">
        <f t="shared" si="29"/>
        <v>3455414.2718255199</v>
      </c>
    </row>
    <row r="84" spans="2:27" x14ac:dyDescent="0.3">
      <c r="B84">
        <f t="shared" si="16"/>
        <v>429.5</v>
      </c>
      <c r="C84">
        <f t="shared" si="12"/>
        <v>0.11641426076844708</v>
      </c>
      <c r="D84">
        <f t="shared" si="13"/>
        <v>2.2561869770341782E-2</v>
      </c>
      <c r="E84">
        <f t="shared" si="18"/>
        <v>49.999925000048016</v>
      </c>
      <c r="F84">
        <f t="shared" si="19"/>
        <v>416199.37570023909</v>
      </c>
      <c r="J84">
        <f t="shared" si="20"/>
        <v>5.8207130384236194E-2</v>
      </c>
      <c r="K84">
        <f t="shared" si="21"/>
        <v>0.19178082404905517</v>
      </c>
      <c r="L84">
        <f t="shared" si="22"/>
        <v>24.999962500029447</v>
      </c>
      <c r="M84">
        <f t="shared" si="23"/>
        <v>3537785.6557535217</v>
      </c>
      <c r="P84">
        <f t="shared" si="17"/>
        <v>429.5</v>
      </c>
      <c r="Q84">
        <f t="shared" si="14"/>
        <v>0.11641426076844708</v>
      </c>
      <c r="R84">
        <f t="shared" si="15"/>
        <v>2.2561869770341782E-2</v>
      </c>
      <c r="S84">
        <f t="shared" si="24"/>
        <v>49.999925000048016</v>
      </c>
      <c r="T84">
        <f t="shared" si="25"/>
        <v>416199.37570023909</v>
      </c>
      <c r="X84">
        <f t="shared" si="26"/>
        <v>5.8207130384236194E-2</v>
      </c>
      <c r="Y84">
        <f t="shared" si="27"/>
        <v>0.19178082404905517</v>
      </c>
      <c r="Z84">
        <f t="shared" si="28"/>
        <v>24.999962500029447</v>
      </c>
      <c r="AA84">
        <f t="shared" si="29"/>
        <v>3537785.6557535217</v>
      </c>
    </row>
    <row r="85" spans="2:27" x14ac:dyDescent="0.3">
      <c r="B85">
        <f t="shared" si="16"/>
        <v>429.75</v>
      </c>
      <c r="C85">
        <f t="shared" si="12"/>
        <v>0.11634653868539387</v>
      </c>
      <c r="D85">
        <f t="shared" si="13"/>
        <v>1.1912152884588694E-2</v>
      </c>
      <c r="E85">
        <f t="shared" si="18"/>
        <v>49.999925000048016</v>
      </c>
      <c r="F85">
        <f t="shared" si="19"/>
        <v>219999.66999998182</v>
      </c>
      <c r="J85">
        <f t="shared" si="20"/>
        <v>5.8173269342709333E-2</v>
      </c>
      <c r="K85">
        <f t="shared" si="21"/>
        <v>0.19322272704255608</v>
      </c>
      <c r="L85">
        <f t="shared" si="22"/>
        <v>24.999962500029337</v>
      </c>
      <c r="M85">
        <f t="shared" si="23"/>
        <v>3568535.1420274908</v>
      </c>
      <c r="P85">
        <f t="shared" si="17"/>
        <v>429.75</v>
      </c>
      <c r="Q85">
        <f t="shared" si="14"/>
        <v>0.11634653868539387</v>
      </c>
      <c r="R85">
        <f t="shared" si="15"/>
        <v>1.1912152884588694E-2</v>
      </c>
      <c r="S85">
        <f t="shared" si="24"/>
        <v>49.999925000048016</v>
      </c>
      <c r="T85">
        <f t="shared" si="25"/>
        <v>219999.66999998182</v>
      </c>
      <c r="X85">
        <f t="shared" si="26"/>
        <v>5.8173269342709333E-2</v>
      </c>
      <c r="Y85">
        <f t="shared" si="27"/>
        <v>0.19322272704255608</v>
      </c>
      <c r="Z85">
        <f t="shared" si="28"/>
        <v>24.999962500029337</v>
      </c>
      <c r="AA85">
        <f t="shared" si="29"/>
        <v>3568535.1420274908</v>
      </c>
    </row>
    <row r="86" spans="2:27" x14ac:dyDescent="0.3">
      <c r="B86">
        <f t="shared" si="16"/>
        <v>430</v>
      </c>
      <c r="C86">
        <f t="shared" si="12"/>
        <v>0.11627889534894888</v>
      </c>
      <c r="D86">
        <f t="shared" si="13"/>
        <v>1.622496212513414E-5</v>
      </c>
      <c r="E86">
        <f t="shared" si="18"/>
        <v>49.999925000048016</v>
      </c>
      <c r="F86">
        <f t="shared" si="19"/>
        <v>299.99954969373027</v>
      </c>
      <c r="J86">
        <f t="shared" si="20"/>
        <v>5.8139447674484146E-2</v>
      </c>
      <c r="K86">
        <f t="shared" si="21"/>
        <v>0.19156781903194514</v>
      </c>
      <c r="L86">
        <f t="shared" si="22"/>
        <v>24.999962500028182</v>
      </c>
      <c r="M86">
        <f t="shared" si="23"/>
        <v>3542088.9739006655</v>
      </c>
      <c r="P86">
        <f t="shared" si="17"/>
        <v>430</v>
      </c>
      <c r="Q86">
        <f t="shared" si="14"/>
        <v>0.11627889534894888</v>
      </c>
      <c r="R86">
        <f t="shared" si="15"/>
        <v>1.622496212513414E-5</v>
      </c>
      <c r="S86">
        <f t="shared" si="24"/>
        <v>49.999925000048016</v>
      </c>
      <c r="T86">
        <f t="shared" si="25"/>
        <v>299.99954969373027</v>
      </c>
      <c r="X86">
        <f t="shared" si="26"/>
        <v>5.8139447674484146E-2</v>
      </c>
      <c r="Y86">
        <f t="shared" si="27"/>
        <v>0.19156781903194514</v>
      </c>
      <c r="Z86">
        <f t="shared" si="28"/>
        <v>24.999962500028182</v>
      </c>
      <c r="AA86">
        <f t="shared" si="29"/>
        <v>3542088.9739006655</v>
      </c>
    </row>
    <row r="87" spans="2:27" x14ac:dyDescent="0.3">
      <c r="B87">
        <f t="shared" si="16"/>
        <v>430.25</v>
      </c>
      <c r="C87">
        <f t="shared" si="12"/>
        <v>0.11621133062184315</v>
      </c>
      <c r="D87">
        <f t="shared" si="13"/>
        <v>-1.1852070163150244E-2</v>
      </c>
      <c r="E87">
        <f t="shared" si="18"/>
        <v>49.999925000048016</v>
      </c>
      <c r="F87">
        <f t="shared" si="19"/>
        <v>-219399.67090059427</v>
      </c>
      <c r="J87">
        <f t="shared" si="20"/>
        <v>5.810566531093575E-2</v>
      </c>
      <c r="K87">
        <f t="shared" si="21"/>
        <v>0.18713340538196543</v>
      </c>
      <c r="L87">
        <f t="shared" si="22"/>
        <v>24.999962500030108</v>
      </c>
      <c r="M87">
        <f t="shared" si="23"/>
        <v>3464121.203312037</v>
      </c>
      <c r="P87">
        <f t="shared" si="17"/>
        <v>430.25</v>
      </c>
      <c r="Q87">
        <f t="shared" si="14"/>
        <v>0.11621133062184315</v>
      </c>
      <c r="R87">
        <f t="shared" si="15"/>
        <v>-1.1852070163150244E-2</v>
      </c>
      <c r="S87">
        <f t="shared" si="24"/>
        <v>49.999925000048016</v>
      </c>
      <c r="T87">
        <f t="shared" si="25"/>
        <v>-219399.67090059427</v>
      </c>
      <c r="X87">
        <f t="shared" si="26"/>
        <v>5.810566531093575E-2</v>
      </c>
      <c r="Y87">
        <f t="shared" si="27"/>
        <v>0.18713340538196543</v>
      </c>
      <c r="Z87">
        <f t="shared" si="28"/>
        <v>24.999962500030108</v>
      </c>
      <c r="AA87">
        <f t="shared" si="29"/>
        <v>3464121.203312037</v>
      </c>
    </row>
    <row r="88" spans="2:27" x14ac:dyDescent="0.3">
      <c r="B88">
        <f t="shared" si="16"/>
        <v>430.5</v>
      </c>
      <c r="C88">
        <f t="shared" si="12"/>
        <v>0.11614384436712664</v>
      </c>
      <c r="D88">
        <f t="shared" si="13"/>
        <v>-2.2419404104340845E-2</v>
      </c>
      <c r="E88">
        <f t="shared" si="18"/>
        <v>49.999925000048023</v>
      </c>
      <c r="F88">
        <f t="shared" si="19"/>
        <v>-415499.37675085146</v>
      </c>
      <c r="J88">
        <f t="shared" si="20"/>
        <v>5.8071922183575708E-2</v>
      </c>
      <c r="K88">
        <f t="shared" si="21"/>
        <v>0.18023616239042903</v>
      </c>
      <c r="L88">
        <f t="shared" si="22"/>
        <v>24.999962500029341</v>
      </c>
      <c r="M88">
        <f t="shared" si="23"/>
        <v>3340321.3034858811</v>
      </c>
      <c r="P88">
        <f t="shared" si="17"/>
        <v>430.5</v>
      </c>
      <c r="Q88">
        <f t="shared" si="14"/>
        <v>0.11614384436712664</v>
      </c>
      <c r="R88">
        <f t="shared" si="15"/>
        <v>-2.2419404104340845E-2</v>
      </c>
      <c r="S88">
        <f t="shared" si="24"/>
        <v>49.999925000048023</v>
      </c>
      <c r="T88">
        <f t="shared" si="25"/>
        <v>-415499.37675085146</v>
      </c>
      <c r="X88">
        <f t="shared" si="26"/>
        <v>5.8071922183575708E-2</v>
      </c>
      <c r="Y88">
        <f t="shared" si="27"/>
        <v>0.18023616239042903</v>
      </c>
      <c r="Z88">
        <f t="shared" si="28"/>
        <v>24.999962500029341</v>
      </c>
      <c r="AA88">
        <f t="shared" si="29"/>
        <v>3340321.3034858811</v>
      </c>
    </row>
    <row r="89" spans="2:27" x14ac:dyDescent="0.3">
      <c r="B89">
        <f t="shared" si="16"/>
        <v>430.75</v>
      </c>
      <c r="C89">
        <f t="shared" si="12"/>
        <v>0.11607643644816719</v>
      </c>
      <c r="D89">
        <f t="shared" si="13"/>
        <v>-3.1744176932341286E-2</v>
      </c>
      <c r="E89">
        <f t="shared" si="18"/>
        <v>49.999925000048016</v>
      </c>
      <c r="F89">
        <f t="shared" si="19"/>
        <v>-588999.11650107882</v>
      </c>
      <c r="J89">
        <f t="shared" si="20"/>
        <v>5.8037128335279076E-2</v>
      </c>
      <c r="K89">
        <f t="shared" si="21"/>
        <v>0.17128664036402205</v>
      </c>
      <c r="L89">
        <f t="shared" si="22"/>
        <v>24.999493030421462</v>
      </c>
      <c r="M89">
        <f t="shared" si="23"/>
        <v>3178147.6035077679</v>
      </c>
      <c r="P89">
        <f t="shared" si="17"/>
        <v>430.75</v>
      </c>
      <c r="Q89">
        <f t="shared" si="14"/>
        <v>0.11607643644816719</v>
      </c>
      <c r="R89">
        <f t="shared" si="15"/>
        <v>-3.1744176932341286E-2</v>
      </c>
      <c r="S89">
        <f t="shared" si="24"/>
        <v>49.999925000048016</v>
      </c>
      <c r="T89">
        <f t="shared" si="25"/>
        <v>-588999.11650107882</v>
      </c>
      <c r="X89">
        <f t="shared" si="26"/>
        <v>5.8037128335279076E-2</v>
      </c>
      <c r="Y89">
        <f t="shared" si="27"/>
        <v>0.17128664036402205</v>
      </c>
      <c r="Z89">
        <f t="shared" si="28"/>
        <v>24.999493030421462</v>
      </c>
      <c r="AA89">
        <f t="shared" si="29"/>
        <v>3178147.6035077679</v>
      </c>
    </row>
    <row r="90" spans="2:27" x14ac:dyDescent="0.3">
      <c r="B90">
        <f t="shared" si="16"/>
        <v>431</v>
      </c>
      <c r="C90">
        <f t="shared" si="12"/>
        <v>0.11599750581797681</v>
      </c>
      <c r="D90">
        <f t="shared" si="13"/>
        <v>-3.8910154219728613E-2</v>
      </c>
      <c r="E90">
        <f t="shared" ref="E90:E121" si="30">C90*B90</f>
        <v>49.994925007548005</v>
      </c>
      <c r="F90">
        <f t="shared" ref="F90:F121" si="31">D90*B90^2/0.01</f>
        <v>-722798.91580110067</v>
      </c>
      <c r="J90">
        <f t="shared" ref="J90:J121" si="32">getDelta($B$2,$C$1,$D$2,B90,$K$3,$D$3,$E$3,$F$3,$G$3)-getDelta($B$2,$C$1,$D$2,B90,$N$3,$D$3,$E$3,$F$3,$G$3)</f>
        <v>5.7998037090858157E-2</v>
      </c>
      <c r="K90">
        <f t="shared" ref="K90:K121" si="33">getGamma($B$2,$C$1,$D$2,B90,$K$3,$D$3,$E$3,$F$3,$G$3)-getGamma($B$2,$C$1,$D$2,C90,$N$3,$D$3,$E$3,$F$3,$G$3)</f>
        <v>0.16073384005203059</v>
      </c>
      <c r="L90">
        <f t="shared" ref="L90:L121" si="34">J90*B90</f>
        <v>24.997153986159866</v>
      </c>
      <c r="M90">
        <f t="shared" ref="M90:M121" si="35">K90*B90^2/0.01</f>
        <v>2985807.8861905253</v>
      </c>
      <c r="P90">
        <f t="shared" si="17"/>
        <v>431</v>
      </c>
      <c r="Q90">
        <f t="shared" si="14"/>
        <v>0.11599750581797681</v>
      </c>
      <c r="R90">
        <f t="shared" si="15"/>
        <v>-3.8910154219728613E-2</v>
      </c>
      <c r="S90">
        <f t="shared" ref="S90:S121" si="36">Q90*P90</f>
        <v>49.994925007548005</v>
      </c>
      <c r="T90">
        <f t="shared" ref="T90:T121" si="37">R90*P90^2/0.01</f>
        <v>-722798.91580110067</v>
      </c>
      <c r="X90">
        <f t="shared" ref="X90:X121" si="38">getDelta($B$2,$C$1,$D$2,P90,$K$3,$D$3,$E$3,$F$3,$G$3)-getDelta($B$2,$C$1,$D$2,P90,$N$3,$D$3,$E$3,$F$3,$G$3)</f>
        <v>5.7998037090858157E-2</v>
      </c>
      <c r="Y90">
        <f t="shared" ref="Y90:Y121" si="39">getGamma($B$2,$C$1,$D$2,P90,$K$3,$D$3,$E$3,$F$3,$G$3)-getGamma($B$2,$C$1,$D$2,Q90,$N$3,$D$3,$E$3,$F$3,$G$3)</f>
        <v>0.16073384005203059</v>
      </c>
      <c r="Z90">
        <f t="shared" ref="Z90:Z121" si="40">X90*P90</f>
        <v>24.997153986159866</v>
      </c>
      <c r="AA90">
        <f t="shared" ref="AA90:AA121" si="41">Y90*P90^2/0.01</f>
        <v>2985807.8861905253</v>
      </c>
    </row>
    <row r="91" spans="2:27" x14ac:dyDescent="0.3">
      <c r="B91">
        <f t="shared" si="16"/>
        <v>431.25</v>
      </c>
      <c r="C91">
        <f t="shared" ref="C91:C146" si="42">getDelta($B$2,$C$2, $D$2, B91,$C$3,$D$3,$E$3,$F$3,$G$3)</f>
        <v>0.11590707251605332</v>
      </c>
      <c r="D91">
        <f t="shared" ref="D91:D146" si="43">getGamma($B$2,$C$2, $D$2, B91,$C$3,$D$3,$E$3,$F$3,$G$3)</f>
        <v>-4.4381869995099424E-2</v>
      </c>
      <c r="E91">
        <f t="shared" si="30"/>
        <v>49.984925022547998</v>
      </c>
      <c r="F91">
        <f t="shared" si="31"/>
        <v>-825398.76190104824</v>
      </c>
      <c r="J91">
        <f t="shared" si="32"/>
        <v>5.7950560098656512E-2</v>
      </c>
      <c r="K91">
        <f t="shared" si="33"/>
        <v>0.14907852958455467</v>
      </c>
      <c r="L91">
        <f t="shared" si="34"/>
        <v>24.991179042545621</v>
      </c>
      <c r="M91">
        <f t="shared" si="35"/>
        <v>2772511.2474690033</v>
      </c>
      <c r="P91">
        <f t="shared" si="17"/>
        <v>431.25</v>
      </c>
      <c r="Q91">
        <f t="shared" ref="Q91:Q146" si="44">getDelta($B$2,$C$2, $D$2, P91,$C$3,$D$3,$E$3,$F$3,$G$3)</f>
        <v>0.11590707251605332</v>
      </c>
      <c r="R91">
        <f t="shared" ref="R91:R146" si="45">getGamma($B$2,$C$2, $D$2, P91,$C$3,$D$3,$E$3,$F$3,$G$3)</f>
        <v>-4.4381869995099424E-2</v>
      </c>
      <c r="S91">
        <f t="shared" si="36"/>
        <v>49.984925022547998</v>
      </c>
      <c r="T91">
        <f t="shared" si="37"/>
        <v>-825398.76190104824</v>
      </c>
      <c r="X91">
        <f t="shared" si="38"/>
        <v>5.7950560098656512E-2</v>
      </c>
      <c r="Y91">
        <f t="shared" si="39"/>
        <v>0.14907852958455467</v>
      </c>
      <c r="Z91">
        <f t="shared" si="40"/>
        <v>24.991179042545621</v>
      </c>
      <c r="AA91">
        <f t="shared" si="41"/>
        <v>2772511.2474690033</v>
      </c>
    </row>
    <row r="92" spans="2:27" x14ac:dyDescent="0.3">
      <c r="B92">
        <f t="shared" ref="B92:B146" si="46">B91+0.25</f>
        <v>431.5</v>
      </c>
      <c r="C92">
        <f t="shared" si="42"/>
        <v>0.11576460039698253</v>
      </c>
      <c r="D92">
        <f t="shared" si="43"/>
        <v>-4.8124916903147755E-2</v>
      </c>
      <c r="E92">
        <f t="shared" si="30"/>
        <v>49.952425071297959</v>
      </c>
      <c r="F92">
        <f t="shared" si="31"/>
        <v>-896048.65592601127</v>
      </c>
      <c r="J92">
        <f t="shared" si="32"/>
        <v>5.7881337248251952E-2</v>
      </c>
      <c r="K92">
        <f t="shared" si="33"/>
        <v>0.13668326068876624</v>
      </c>
      <c r="L92">
        <f t="shared" si="34"/>
        <v>24.975797022620718</v>
      </c>
      <c r="M92">
        <f t="shared" si="35"/>
        <v>2544936.3844977934</v>
      </c>
      <c r="P92">
        <f t="shared" ref="P92:P146" si="47">P91+0.25</f>
        <v>431.5</v>
      </c>
      <c r="Q92">
        <f t="shared" si="44"/>
        <v>0.11576460039698253</v>
      </c>
      <c r="R92">
        <f t="shared" si="45"/>
        <v>-4.8124916903147755E-2</v>
      </c>
      <c r="S92">
        <f t="shared" si="36"/>
        <v>49.952425071297959</v>
      </c>
      <c r="T92">
        <f t="shared" si="37"/>
        <v>-896048.65592601127</v>
      </c>
      <c r="X92">
        <f t="shared" si="38"/>
        <v>5.7881337248251952E-2</v>
      </c>
      <c r="Y92">
        <f t="shared" si="39"/>
        <v>0.13668326068876624</v>
      </c>
      <c r="Z92">
        <f t="shared" si="40"/>
        <v>24.975797022620718</v>
      </c>
      <c r="AA92">
        <f t="shared" si="41"/>
        <v>2544936.3844977934</v>
      </c>
    </row>
    <row r="93" spans="2:27" x14ac:dyDescent="0.3">
      <c r="B93">
        <f t="shared" si="46"/>
        <v>431.75</v>
      </c>
      <c r="C93">
        <f t="shared" si="42"/>
        <v>0.11555859909970562</v>
      </c>
      <c r="D93">
        <f t="shared" si="43"/>
        <v>-5.0429610035026627E-2</v>
      </c>
      <c r="E93">
        <f t="shared" si="30"/>
        <v>49.892425161297901</v>
      </c>
      <c r="F93">
        <f t="shared" si="31"/>
        <v>-940048.58992598706</v>
      </c>
      <c r="J93">
        <f t="shared" si="32"/>
        <v>5.7758879194962254E-2</v>
      </c>
      <c r="K93">
        <f t="shared" si="33"/>
        <v>0.12386255262744664</v>
      </c>
      <c r="L93">
        <f t="shared" si="34"/>
        <v>24.937396092424954</v>
      </c>
      <c r="M93">
        <f t="shared" si="35"/>
        <v>2308897.8451586613</v>
      </c>
      <c r="P93">
        <f t="shared" si="47"/>
        <v>431.75</v>
      </c>
      <c r="Q93">
        <f t="shared" si="44"/>
        <v>0.11555859909970562</v>
      </c>
      <c r="R93">
        <f t="shared" si="45"/>
        <v>-5.0429610035026627E-2</v>
      </c>
      <c r="S93">
        <f t="shared" si="36"/>
        <v>49.892425161297901</v>
      </c>
      <c r="T93">
        <f t="shared" si="37"/>
        <v>-940048.58992598706</v>
      </c>
      <c r="X93">
        <f t="shared" si="38"/>
        <v>5.7758879194962254E-2</v>
      </c>
      <c r="Y93">
        <f t="shared" si="39"/>
        <v>0.12386255262744664</v>
      </c>
      <c r="Z93">
        <f t="shared" si="40"/>
        <v>24.937396092424954</v>
      </c>
      <c r="AA93">
        <f t="shared" si="41"/>
        <v>2308897.8451586613</v>
      </c>
    </row>
    <row r="94" spans="2:27" x14ac:dyDescent="0.3">
      <c r="B94">
        <f t="shared" si="46"/>
        <v>432</v>
      </c>
      <c r="C94">
        <f t="shared" si="42"/>
        <v>0.11507505886874465</v>
      </c>
      <c r="D94">
        <f t="shared" si="43"/>
        <v>-5.1630473823086484E-2</v>
      </c>
      <c r="E94">
        <f t="shared" si="30"/>
        <v>49.712425431297689</v>
      </c>
      <c r="F94">
        <f t="shared" si="31"/>
        <v>-963548.55467596918</v>
      </c>
      <c r="J94">
        <f t="shared" si="32"/>
        <v>5.7517351236547443E-2</v>
      </c>
      <c r="K94">
        <f t="shared" si="33"/>
        <v>0.11086410020615316</v>
      </c>
      <c r="L94">
        <f t="shared" si="34"/>
        <v>24.847495734188495</v>
      </c>
      <c r="M94">
        <f t="shared" si="35"/>
        <v>2068990.1836873125</v>
      </c>
      <c r="P94">
        <f t="shared" si="47"/>
        <v>432</v>
      </c>
      <c r="Q94">
        <f t="shared" si="44"/>
        <v>0.11507505886874465</v>
      </c>
      <c r="R94">
        <f t="shared" si="45"/>
        <v>-5.1630473823086484E-2</v>
      </c>
      <c r="S94">
        <f t="shared" si="36"/>
        <v>49.712425431297689</v>
      </c>
      <c r="T94">
        <f t="shared" si="37"/>
        <v>-963548.55467596918</v>
      </c>
      <c r="X94">
        <f t="shared" si="38"/>
        <v>5.7517351236547443E-2</v>
      </c>
      <c r="Y94">
        <f t="shared" si="39"/>
        <v>0.11086410020615316</v>
      </c>
      <c r="Z94">
        <f t="shared" si="40"/>
        <v>24.847495734188495</v>
      </c>
      <c r="AA94">
        <f t="shared" si="41"/>
        <v>2068990.1836873125</v>
      </c>
    </row>
    <row r="95" spans="2:27" x14ac:dyDescent="0.3">
      <c r="B95">
        <f t="shared" si="46"/>
        <v>432.25</v>
      </c>
      <c r="C95">
        <f t="shared" si="42"/>
        <v>0.11425662445065896</v>
      </c>
      <c r="D95">
        <f t="shared" si="43"/>
        <v>-5.2052462847787494E-2</v>
      </c>
      <c r="E95">
        <f t="shared" si="30"/>
        <v>49.387425918797334</v>
      </c>
      <c r="F95">
        <f t="shared" si="31"/>
        <v>-972548.54117595439</v>
      </c>
      <c r="J95">
        <f t="shared" si="32"/>
        <v>5.7091524202383614E-2</v>
      </c>
      <c r="K95">
        <f t="shared" si="33"/>
        <v>9.7848575923514008E-2</v>
      </c>
      <c r="L95">
        <f t="shared" si="34"/>
        <v>24.677811336480318</v>
      </c>
      <c r="M95">
        <f t="shared" si="35"/>
        <v>1828203.4041085353</v>
      </c>
      <c r="P95">
        <f t="shared" si="47"/>
        <v>432.25</v>
      </c>
      <c r="Q95">
        <f t="shared" si="44"/>
        <v>0.11425662445065896</v>
      </c>
      <c r="R95">
        <f t="shared" si="45"/>
        <v>-5.2052462847787494E-2</v>
      </c>
      <c r="S95">
        <f t="shared" si="36"/>
        <v>49.387425918797334</v>
      </c>
      <c r="T95">
        <f t="shared" si="37"/>
        <v>-972548.54117595439</v>
      </c>
      <c r="X95">
        <f t="shared" si="38"/>
        <v>5.7091524202383614E-2</v>
      </c>
      <c r="Y95">
        <f t="shared" si="39"/>
        <v>9.7848575923514008E-2</v>
      </c>
      <c r="Z95">
        <f t="shared" si="40"/>
        <v>24.677811336480318</v>
      </c>
      <c r="AA95">
        <f t="shared" si="41"/>
        <v>1828203.4041085353</v>
      </c>
    </row>
    <row r="96" spans="2:27" x14ac:dyDescent="0.3">
      <c r="B96">
        <f t="shared" si="46"/>
        <v>432.5</v>
      </c>
      <c r="C96">
        <f t="shared" si="42"/>
        <v>0.11290156475155305</v>
      </c>
      <c r="D96">
        <f t="shared" si="43"/>
        <v>-5.1888057421280324E-2</v>
      </c>
      <c r="E96">
        <f t="shared" si="30"/>
        <v>48.829926755046692</v>
      </c>
      <c r="F96">
        <f t="shared" si="31"/>
        <v>-970598.54410093685</v>
      </c>
      <c r="J96">
        <f t="shared" si="32"/>
        <v>5.6370969178356045E-2</v>
      </c>
      <c r="K96">
        <f t="shared" si="33"/>
        <v>8.4985872836641621E-2</v>
      </c>
      <c r="L96">
        <f t="shared" si="34"/>
        <v>24.380444169638988</v>
      </c>
      <c r="M96">
        <f t="shared" si="35"/>
        <v>1589713.8675799044</v>
      </c>
      <c r="P96">
        <f t="shared" si="47"/>
        <v>432.5</v>
      </c>
      <c r="Q96">
        <f t="shared" si="44"/>
        <v>0.11290156475155305</v>
      </c>
      <c r="R96">
        <f t="shared" si="45"/>
        <v>-5.1888057421280324E-2</v>
      </c>
      <c r="S96">
        <f t="shared" si="36"/>
        <v>48.829926755046692</v>
      </c>
      <c r="T96">
        <f t="shared" si="37"/>
        <v>-970598.54410093685</v>
      </c>
      <c r="X96">
        <f t="shared" si="38"/>
        <v>5.6370969178356045E-2</v>
      </c>
      <c r="Y96">
        <f t="shared" si="39"/>
        <v>8.4985872836641621E-2</v>
      </c>
      <c r="Z96">
        <f t="shared" si="40"/>
        <v>24.380444169638988</v>
      </c>
      <c r="AA96">
        <f t="shared" si="41"/>
        <v>1589713.8675799044</v>
      </c>
    </row>
    <row r="97" spans="2:27" x14ac:dyDescent="0.3">
      <c r="B97">
        <f t="shared" si="46"/>
        <v>432.75</v>
      </c>
      <c r="C97">
        <f t="shared" si="42"/>
        <v>0.11064685887070057</v>
      </c>
      <c r="D97">
        <f t="shared" si="43"/>
        <v>-5.1003123710442889E-2</v>
      </c>
      <c r="E97">
        <f t="shared" si="30"/>
        <v>47.882428176295669</v>
      </c>
      <c r="F97">
        <f t="shared" si="31"/>
        <v>-955148.56727591483</v>
      </c>
      <c r="J97">
        <f t="shared" si="32"/>
        <v>5.5178766568440119E-2</v>
      </c>
      <c r="K97">
        <f t="shared" si="33"/>
        <v>7.2455328410923225E-2</v>
      </c>
      <c r="L97">
        <f t="shared" si="34"/>
        <v>23.87861123249246</v>
      </c>
      <c r="M97">
        <f t="shared" si="35"/>
        <v>1356889.5018292645</v>
      </c>
      <c r="P97">
        <f t="shared" si="47"/>
        <v>432.75</v>
      </c>
      <c r="Q97">
        <f t="shared" si="44"/>
        <v>0.11064685887070057</v>
      </c>
      <c r="R97">
        <f t="shared" si="45"/>
        <v>-5.1003123710442889E-2</v>
      </c>
      <c r="S97">
        <f t="shared" si="36"/>
        <v>47.882428176295669</v>
      </c>
      <c r="T97">
        <f t="shared" si="37"/>
        <v>-955148.56727591483</v>
      </c>
      <c r="X97">
        <f t="shared" si="38"/>
        <v>5.5178766568440119E-2</v>
      </c>
      <c r="Y97">
        <f t="shared" si="39"/>
        <v>7.2455328410923225E-2</v>
      </c>
      <c r="Z97">
        <f t="shared" si="40"/>
        <v>23.87861123249246</v>
      </c>
      <c r="AA97">
        <f t="shared" si="41"/>
        <v>1356889.5018292645</v>
      </c>
    </row>
    <row r="98" spans="2:27" x14ac:dyDescent="0.3">
      <c r="B98">
        <f t="shared" si="46"/>
        <v>433</v>
      </c>
      <c r="C98">
        <f t="shared" si="42"/>
        <v>0.10688205676684509</v>
      </c>
      <c r="D98">
        <f t="shared" si="43"/>
        <v>-4.9330820082825057E-2</v>
      </c>
      <c r="E98">
        <f t="shared" si="30"/>
        <v>46.279930580043924</v>
      </c>
      <c r="F98">
        <f t="shared" si="31"/>
        <v>-924898.61265087873</v>
      </c>
      <c r="J98">
        <f t="shared" si="32"/>
        <v>5.3352174315345224E-2</v>
      </c>
      <c r="K98">
        <f t="shared" si="33"/>
        <v>6.0434826865932427E-2</v>
      </c>
      <c r="L98">
        <f t="shared" si="34"/>
        <v>23.101491478544482</v>
      </c>
      <c r="M98">
        <f t="shared" si="35"/>
        <v>1133086.5254266805</v>
      </c>
      <c r="P98">
        <f t="shared" si="47"/>
        <v>433</v>
      </c>
      <c r="Q98">
        <f t="shared" si="44"/>
        <v>0.10688205676684509</v>
      </c>
      <c r="R98">
        <f t="shared" si="45"/>
        <v>-4.9330820082825057E-2</v>
      </c>
      <c r="S98">
        <f t="shared" si="36"/>
        <v>46.279930580043924</v>
      </c>
      <c r="T98">
        <f t="shared" si="37"/>
        <v>-924898.61265087873</v>
      </c>
      <c r="X98">
        <f t="shared" si="38"/>
        <v>5.3352174315345224E-2</v>
      </c>
      <c r="Y98">
        <f t="shared" si="39"/>
        <v>6.0434826865932427E-2</v>
      </c>
      <c r="Z98">
        <f t="shared" si="40"/>
        <v>23.101491478544482</v>
      </c>
      <c r="AA98">
        <f t="shared" si="41"/>
        <v>1133086.5254266805</v>
      </c>
    </row>
    <row r="99" spans="2:27" x14ac:dyDescent="0.3">
      <c r="B99">
        <f t="shared" si="46"/>
        <v>433.25</v>
      </c>
      <c r="C99">
        <f t="shared" si="42"/>
        <v>0.10181750451538696</v>
      </c>
      <c r="D99">
        <f t="shared" si="43"/>
        <v>-4.6991078217291919E-2</v>
      </c>
      <c r="E99">
        <f t="shared" si="30"/>
        <v>44.112433831291398</v>
      </c>
      <c r="F99">
        <f t="shared" si="31"/>
        <v>-882048.67692582775</v>
      </c>
      <c r="J99">
        <f t="shared" si="32"/>
        <v>5.0683166025062398E-2</v>
      </c>
      <c r="K99">
        <f t="shared" si="33"/>
        <v>4.9154780486492168E-2</v>
      </c>
      <c r="L99">
        <f t="shared" si="34"/>
        <v>21.958481680358283</v>
      </c>
      <c r="M99">
        <f t="shared" si="35"/>
        <v>922662.57207810355</v>
      </c>
      <c r="P99">
        <f t="shared" si="47"/>
        <v>433.25</v>
      </c>
      <c r="Q99">
        <f t="shared" si="44"/>
        <v>0.10181750451538696</v>
      </c>
      <c r="R99">
        <f t="shared" si="45"/>
        <v>-4.6991078217291919E-2</v>
      </c>
      <c r="S99">
        <f t="shared" si="36"/>
        <v>44.112433831291398</v>
      </c>
      <c r="T99">
        <f t="shared" si="37"/>
        <v>-882048.67692582775</v>
      </c>
      <c r="X99">
        <f t="shared" si="38"/>
        <v>5.0683166025062398E-2</v>
      </c>
      <c r="Y99">
        <f t="shared" si="39"/>
        <v>4.9154780486492168E-2</v>
      </c>
      <c r="Z99">
        <f t="shared" si="40"/>
        <v>21.958481680358283</v>
      </c>
      <c r="AA99">
        <f t="shared" si="41"/>
        <v>922662.57207810355</v>
      </c>
    </row>
    <row r="100" spans="2:27" x14ac:dyDescent="0.3">
      <c r="B100">
        <f t="shared" si="46"/>
        <v>433.5</v>
      </c>
      <c r="C100">
        <f t="shared" si="42"/>
        <v>9.450389515291184E-2</v>
      </c>
      <c r="D100">
        <f t="shared" si="43"/>
        <v>-4.3600412988655989E-2</v>
      </c>
      <c r="E100">
        <f t="shared" si="30"/>
        <v>40.967438548787285</v>
      </c>
      <c r="F100">
        <f t="shared" si="31"/>
        <v>-819348.77097574575</v>
      </c>
      <c r="J100">
        <f t="shared" si="32"/>
        <v>4.7067263528590142E-2</v>
      </c>
      <c r="K100">
        <f t="shared" si="33"/>
        <v>3.8828189455609285E-2</v>
      </c>
      <c r="L100">
        <f t="shared" si="34"/>
        <v>20.403658739643827</v>
      </c>
      <c r="M100">
        <f t="shared" si="35"/>
        <v>729668.07259243727</v>
      </c>
      <c r="P100">
        <f t="shared" si="47"/>
        <v>433.5</v>
      </c>
      <c r="Q100">
        <f t="shared" si="44"/>
        <v>9.450389515291184E-2</v>
      </c>
      <c r="R100">
        <f t="shared" si="45"/>
        <v>-4.3600412988655989E-2</v>
      </c>
      <c r="S100">
        <f t="shared" si="36"/>
        <v>40.967438548787285</v>
      </c>
      <c r="T100">
        <f t="shared" si="37"/>
        <v>-819348.77097574575</v>
      </c>
      <c r="X100">
        <f t="shared" si="38"/>
        <v>4.7067263528590142E-2</v>
      </c>
      <c r="Y100">
        <f t="shared" si="39"/>
        <v>3.8828189455609285E-2</v>
      </c>
      <c r="Z100">
        <f t="shared" si="40"/>
        <v>20.403658739643827</v>
      </c>
      <c r="AA100">
        <f t="shared" si="41"/>
        <v>729668.07259243727</v>
      </c>
    </row>
    <row r="101" spans="2:27" x14ac:dyDescent="0.3">
      <c r="B101">
        <f t="shared" si="46"/>
        <v>433.75</v>
      </c>
      <c r="C101">
        <f t="shared" si="42"/>
        <v>8.5210246824281313E-2</v>
      </c>
      <c r="D101">
        <f t="shared" si="43"/>
        <v>-3.9290027354135469E-2</v>
      </c>
      <c r="E101">
        <f t="shared" si="30"/>
        <v>36.959944560032021</v>
      </c>
      <c r="F101">
        <f t="shared" si="31"/>
        <v>-739198.89120064024</v>
      </c>
      <c r="J101">
        <f t="shared" si="32"/>
        <v>4.2522735314304727E-2</v>
      </c>
      <c r="K101">
        <f t="shared" si="33"/>
        <v>2.9667001129178361E-2</v>
      </c>
      <c r="L101">
        <f t="shared" si="34"/>
        <v>18.444236442579676</v>
      </c>
      <c r="M101">
        <f t="shared" si="35"/>
        <v>558152.17796300584</v>
      </c>
      <c r="P101">
        <f t="shared" si="47"/>
        <v>433.75</v>
      </c>
      <c r="Q101">
        <f t="shared" si="44"/>
        <v>8.5210246824281313E-2</v>
      </c>
      <c r="R101">
        <f t="shared" si="45"/>
        <v>-3.9290027354135469E-2</v>
      </c>
      <c r="S101">
        <f t="shared" si="36"/>
        <v>36.959944560032021</v>
      </c>
      <c r="T101">
        <f t="shared" si="37"/>
        <v>-739198.89120064024</v>
      </c>
      <c r="X101">
        <f t="shared" si="38"/>
        <v>4.2522735314304727E-2</v>
      </c>
      <c r="Y101">
        <f t="shared" si="39"/>
        <v>2.9667001129178361E-2</v>
      </c>
      <c r="Z101">
        <f t="shared" si="40"/>
        <v>18.444236442579676</v>
      </c>
      <c r="AA101">
        <f t="shared" si="41"/>
        <v>558152.17796300584</v>
      </c>
    </row>
    <row r="102" spans="2:27" x14ac:dyDescent="0.3">
      <c r="B102">
        <f t="shared" si="46"/>
        <v>434</v>
      </c>
      <c r="C102">
        <f t="shared" si="42"/>
        <v>7.4562100138308746E-2</v>
      </c>
      <c r="D102">
        <f t="shared" si="43"/>
        <v>-3.4360414810280529E-2</v>
      </c>
      <c r="E102">
        <f t="shared" si="30"/>
        <v>32.359951460025997</v>
      </c>
      <c r="F102">
        <f t="shared" si="31"/>
        <v>-647199.0292005199</v>
      </c>
      <c r="J102">
        <f t="shared" si="32"/>
        <v>3.7173785479707067E-2</v>
      </c>
      <c r="K102">
        <f t="shared" si="33"/>
        <v>2.1822425802442209E-2</v>
      </c>
      <c r="L102">
        <f t="shared" si="34"/>
        <v>16.133422898192865</v>
      </c>
      <c r="M102">
        <f t="shared" si="35"/>
        <v>411038.48344448052</v>
      </c>
      <c r="P102">
        <f t="shared" si="47"/>
        <v>434</v>
      </c>
      <c r="Q102">
        <f t="shared" si="44"/>
        <v>7.4562100138308746E-2</v>
      </c>
      <c r="R102">
        <f t="shared" si="45"/>
        <v>-3.4360414810280529E-2</v>
      </c>
      <c r="S102">
        <f t="shared" si="36"/>
        <v>32.359951460025997</v>
      </c>
      <c r="T102">
        <f t="shared" si="37"/>
        <v>-647199.0292005199</v>
      </c>
      <c r="X102">
        <f t="shared" si="38"/>
        <v>3.7173785479707067E-2</v>
      </c>
      <c r="Y102">
        <f t="shared" si="39"/>
        <v>2.1822425802442209E-2</v>
      </c>
      <c r="Z102">
        <f t="shared" si="40"/>
        <v>16.133422898192865</v>
      </c>
      <c r="AA102">
        <f t="shared" si="41"/>
        <v>411038.48344448052</v>
      </c>
    </row>
    <row r="103" spans="2:27" x14ac:dyDescent="0.3">
      <c r="B103">
        <f t="shared" si="46"/>
        <v>434.25</v>
      </c>
      <c r="C103">
        <f t="shared" si="42"/>
        <v>6.2498466989105696E-2</v>
      </c>
      <c r="D103">
        <f t="shared" si="43"/>
        <v>-2.878455589596118E-2</v>
      </c>
      <c r="E103">
        <f t="shared" si="30"/>
        <v>27.139959290019149</v>
      </c>
      <c r="F103">
        <f t="shared" si="31"/>
        <v>-542799.1858003831</v>
      </c>
      <c r="J103">
        <f t="shared" si="32"/>
        <v>3.1139722149382099E-2</v>
      </c>
      <c r="K103">
        <f t="shared" si="33"/>
        <v>1.5449210351345711E-2</v>
      </c>
      <c r="L103">
        <f t="shared" si="34"/>
        <v>13.522424343369176</v>
      </c>
      <c r="M103">
        <f t="shared" si="35"/>
        <v>291330.4909159962</v>
      </c>
      <c r="P103">
        <f t="shared" si="47"/>
        <v>434.25</v>
      </c>
      <c r="Q103">
        <f t="shared" si="44"/>
        <v>6.2498466989105696E-2</v>
      </c>
      <c r="R103">
        <f t="shared" si="45"/>
        <v>-2.878455589596118E-2</v>
      </c>
      <c r="S103">
        <f t="shared" si="36"/>
        <v>27.139959290019149</v>
      </c>
      <c r="T103">
        <f t="shared" si="37"/>
        <v>-542799.1858003831</v>
      </c>
      <c r="X103">
        <f t="shared" si="38"/>
        <v>3.1139722149382099E-2</v>
      </c>
      <c r="Y103">
        <f t="shared" si="39"/>
        <v>1.5449210351345711E-2</v>
      </c>
      <c r="Z103">
        <f t="shared" si="40"/>
        <v>13.522424343369176</v>
      </c>
      <c r="AA103">
        <f t="shared" si="41"/>
        <v>291330.4909159962</v>
      </c>
    </row>
    <row r="104" spans="2:27" x14ac:dyDescent="0.3">
      <c r="B104">
        <f t="shared" si="46"/>
        <v>434.5</v>
      </c>
      <c r="C104">
        <f t="shared" si="42"/>
        <v>4.9292216050084346E-2</v>
      </c>
      <c r="D104">
        <f t="shared" si="43"/>
        <v>-2.2689167341810972E-2</v>
      </c>
      <c r="E104">
        <f t="shared" si="30"/>
        <v>21.417467873761648</v>
      </c>
      <c r="F104">
        <f t="shared" si="31"/>
        <v>-428349.35747523286</v>
      </c>
      <c r="J104">
        <f t="shared" si="32"/>
        <v>2.4854725483389961E-2</v>
      </c>
      <c r="K104">
        <f t="shared" si="33"/>
        <v>1.0497456028055938E-2</v>
      </c>
      <c r="L104">
        <f t="shared" si="34"/>
        <v>10.799378222532939</v>
      </c>
      <c r="M104">
        <f t="shared" si="35"/>
        <v>198181.73479006876</v>
      </c>
      <c r="P104">
        <f t="shared" si="47"/>
        <v>434.5</v>
      </c>
      <c r="Q104">
        <f t="shared" si="44"/>
        <v>4.9292216050084346E-2</v>
      </c>
      <c r="R104">
        <f t="shared" si="45"/>
        <v>-2.2689167341810972E-2</v>
      </c>
      <c r="S104">
        <f t="shared" si="36"/>
        <v>21.417467873761648</v>
      </c>
      <c r="T104">
        <f t="shared" si="37"/>
        <v>-428349.35747523286</v>
      </c>
      <c r="X104">
        <f t="shared" si="38"/>
        <v>2.4854725483389961E-2</v>
      </c>
      <c r="Y104">
        <f t="shared" si="39"/>
        <v>1.0497456028055938E-2</v>
      </c>
      <c r="Z104">
        <f t="shared" si="40"/>
        <v>10.799378222532939</v>
      </c>
      <c r="AA104">
        <f t="shared" si="41"/>
        <v>198181.73479006876</v>
      </c>
    </row>
    <row r="105" spans="2:27" x14ac:dyDescent="0.3">
      <c r="B105">
        <f t="shared" si="46"/>
        <v>434.75</v>
      </c>
      <c r="C105">
        <f t="shared" si="42"/>
        <v>3.7728523050615463E-2</v>
      </c>
      <c r="D105">
        <f t="shared" si="43"/>
        <v>-1.7356422334958242E-2</v>
      </c>
      <c r="E105">
        <f t="shared" si="30"/>
        <v>16.402475396255074</v>
      </c>
      <c r="F105">
        <f t="shared" si="31"/>
        <v>-328049.50792510156</v>
      </c>
      <c r="J105">
        <f t="shared" si="32"/>
        <v>1.9013169529287333E-2</v>
      </c>
      <c r="K105">
        <f t="shared" si="33"/>
        <v>6.8021398793722742E-3</v>
      </c>
      <c r="L105">
        <f t="shared" si="34"/>
        <v>8.265975452857667</v>
      </c>
      <c r="M105">
        <f t="shared" si="35"/>
        <v>128565.58783841976</v>
      </c>
      <c r="P105">
        <f t="shared" si="47"/>
        <v>434.75</v>
      </c>
      <c r="Q105">
        <f t="shared" si="44"/>
        <v>3.7728523050615463E-2</v>
      </c>
      <c r="R105">
        <f t="shared" si="45"/>
        <v>-1.7356422334958242E-2</v>
      </c>
      <c r="S105">
        <f t="shared" si="36"/>
        <v>16.402475396255074</v>
      </c>
      <c r="T105">
        <f t="shared" si="37"/>
        <v>-328049.50792510156</v>
      </c>
      <c r="X105">
        <f t="shared" si="38"/>
        <v>1.9013169529287333E-2</v>
      </c>
      <c r="Y105">
        <f t="shared" si="39"/>
        <v>6.8021398793722742E-3</v>
      </c>
      <c r="Z105">
        <f t="shared" si="40"/>
        <v>8.265975452857667</v>
      </c>
      <c r="AA105">
        <f t="shared" si="41"/>
        <v>128565.58783841976</v>
      </c>
    </row>
    <row r="106" spans="2:27" x14ac:dyDescent="0.3">
      <c r="B106">
        <f t="shared" si="46"/>
        <v>435</v>
      </c>
      <c r="C106">
        <f t="shared" si="42"/>
        <v>2.7465476043101671E-2</v>
      </c>
      <c r="D106">
        <f t="shared" si="43"/>
        <v>-1.2627805077288123E-2</v>
      </c>
      <c r="E106">
        <f t="shared" si="30"/>
        <v>11.947482078749227</v>
      </c>
      <c r="F106">
        <f t="shared" si="31"/>
        <v>-238949.64157498447</v>
      </c>
      <c r="J106">
        <f t="shared" si="32"/>
        <v>1.3882775323257102E-2</v>
      </c>
      <c r="K106">
        <f t="shared" si="33"/>
        <v>4.1972628807884979E-3</v>
      </c>
      <c r="L106">
        <f t="shared" si="34"/>
        <v>6.0390072656168394</v>
      </c>
      <c r="M106">
        <f t="shared" si="35"/>
        <v>79422.706861720348</v>
      </c>
      <c r="P106">
        <f t="shared" si="47"/>
        <v>435</v>
      </c>
      <c r="Q106">
        <f t="shared" si="44"/>
        <v>2.7465476043101671E-2</v>
      </c>
      <c r="R106">
        <f t="shared" si="45"/>
        <v>-1.2627805077288123E-2</v>
      </c>
      <c r="S106">
        <f t="shared" si="36"/>
        <v>11.947482078749227</v>
      </c>
      <c r="T106">
        <f t="shared" si="37"/>
        <v>-238949.64157498447</v>
      </c>
      <c r="X106">
        <f t="shared" si="38"/>
        <v>1.3882775323257102E-2</v>
      </c>
      <c r="Y106">
        <f t="shared" si="39"/>
        <v>4.1972628807884979E-3</v>
      </c>
      <c r="Z106">
        <f t="shared" si="40"/>
        <v>6.0390072656168394</v>
      </c>
      <c r="AA106">
        <f t="shared" si="41"/>
        <v>79422.706861720348</v>
      </c>
    </row>
    <row r="107" spans="2:27" x14ac:dyDescent="0.3">
      <c r="B107">
        <f t="shared" si="46"/>
        <v>435.25</v>
      </c>
      <c r="C107">
        <f t="shared" si="42"/>
        <v>1.8937363897175912E-2</v>
      </c>
      <c r="D107">
        <f t="shared" si="43"/>
        <v>-8.7018329223094437E-3</v>
      </c>
      <c r="E107">
        <f t="shared" si="30"/>
        <v>8.2424876362458157</v>
      </c>
      <c r="F107">
        <f t="shared" si="31"/>
        <v>-164849.75272491644</v>
      </c>
      <c r="J107">
        <f t="shared" si="32"/>
        <v>9.5961529432646575E-3</v>
      </c>
      <c r="K107">
        <f t="shared" si="33"/>
        <v>2.4573786479841864E-3</v>
      </c>
      <c r="L107">
        <f t="shared" si="34"/>
        <v>4.1767255685559421</v>
      </c>
      <c r="M107">
        <f t="shared" si="35"/>
        <v>46553.210810690973</v>
      </c>
      <c r="P107">
        <f t="shared" si="47"/>
        <v>435.25</v>
      </c>
      <c r="Q107">
        <f t="shared" si="44"/>
        <v>1.8937363897175912E-2</v>
      </c>
      <c r="R107">
        <f t="shared" si="45"/>
        <v>-8.7018329223094437E-3</v>
      </c>
      <c r="S107">
        <f t="shared" si="36"/>
        <v>8.2424876362458157</v>
      </c>
      <c r="T107">
        <f t="shared" si="37"/>
        <v>-164849.75272491644</v>
      </c>
      <c r="X107">
        <f t="shared" si="38"/>
        <v>9.5961529432646575E-3</v>
      </c>
      <c r="Y107">
        <f t="shared" si="39"/>
        <v>2.4573786479841864E-3</v>
      </c>
      <c r="Z107">
        <f t="shared" si="40"/>
        <v>4.1767255685559421</v>
      </c>
      <c r="AA107">
        <f t="shared" si="41"/>
        <v>46553.210810690973</v>
      </c>
    </row>
    <row r="108" spans="2:27" x14ac:dyDescent="0.3">
      <c r="B108">
        <f t="shared" si="46"/>
        <v>435.5</v>
      </c>
      <c r="C108">
        <f t="shared" si="42"/>
        <v>1.2169901377720572E-2</v>
      </c>
      <c r="D108">
        <f t="shared" si="43"/>
        <v>-5.5889328944755835E-3</v>
      </c>
      <c r="E108">
        <f t="shared" si="30"/>
        <v>5.299992049997309</v>
      </c>
      <c r="F108">
        <f t="shared" si="31"/>
        <v>-105999.84099994629</v>
      </c>
      <c r="J108">
        <f t="shared" si="32"/>
        <v>6.2791945424787166E-3</v>
      </c>
      <c r="K108">
        <f t="shared" si="33"/>
        <v>1.3611826197850981E-3</v>
      </c>
      <c r="L108">
        <f t="shared" si="34"/>
        <v>2.7345892232494808</v>
      </c>
      <c r="M108">
        <f t="shared" si="35"/>
        <v>25816.223596409662</v>
      </c>
      <c r="P108">
        <f t="shared" si="47"/>
        <v>435.5</v>
      </c>
      <c r="Q108">
        <f t="shared" si="44"/>
        <v>1.2169901377720572E-2</v>
      </c>
      <c r="R108">
        <f t="shared" si="45"/>
        <v>-5.5889328944755835E-3</v>
      </c>
      <c r="S108">
        <f t="shared" si="36"/>
        <v>5.299992049997309</v>
      </c>
      <c r="T108">
        <f t="shared" si="37"/>
        <v>-105999.84099994629</v>
      </c>
      <c r="X108">
        <f t="shared" si="38"/>
        <v>6.2791945424787166E-3</v>
      </c>
      <c r="Y108">
        <f t="shared" si="39"/>
        <v>1.3611826197850981E-3</v>
      </c>
      <c r="Z108">
        <f t="shared" si="40"/>
        <v>2.7345892232494808</v>
      </c>
      <c r="AA108">
        <f t="shared" si="41"/>
        <v>25816.223596409662</v>
      </c>
    </row>
    <row r="109" spans="2:27" x14ac:dyDescent="0.3">
      <c r="B109">
        <f t="shared" si="46"/>
        <v>435.75</v>
      </c>
      <c r="C109">
        <f t="shared" si="42"/>
        <v>7.5215033476726074E-3</v>
      </c>
      <c r="D109">
        <f t="shared" si="43"/>
        <v>-3.4522103718520286E-3</v>
      </c>
      <c r="E109">
        <f t="shared" si="30"/>
        <v>3.2774950837483385</v>
      </c>
      <c r="F109">
        <f t="shared" si="31"/>
        <v>-65549.901674966764</v>
      </c>
      <c r="J109">
        <f t="shared" si="32"/>
        <v>3.874322899454774E-3</v>
      </c>
      <c r="K109">
        <f t="shared" si="33"/>
        <v>7.1157452082709128E-4</v>
      </c>
      <c r="L109">
        <f t="shared" si="34"/>
        <v>1.6882362034374179</v>
      </c>
      <c r="M109">
        <f t="shared" si="35"/>
        <v>13511.239133901398</v>
      </c>
      <c r="P109">
        <f t="shared" si="47"/>
        <v>435.75</v>
      </c>
      <c r="Q109">
        <f t="shared" si="44"/>
        <v>7.5215033476726074E-3</v>
      </c>
      <c r="R109">
        <f t="shared" si="45"/>
        <v>-3.4522103718520286E-3</v>
      </c>
      <c r="S109">
        <f t="shared" si="36"/>
        <v>3.2774950837483385</v>
      </c>
      <c r="T109">
        <f t="shared" si="37"/>
        <v>-65549.901674966764</v>
      </c>
      <c r="X109">
        <f t="shared" si="38"/>
        <v>3.874322899454774E-3</v>
      </c>
      <c r="Y109">
        <f t="shared" si="39"/>
        <v>7.1157452082709128E-4</v>
      </c>
      <c r="Z109">
        <f t="shared" si="40"/>
        <v>1.6882362034374179</v>
      </c>
      <c r="AA109">
        <f t="shared" si="41"/>
        <v>13511.239133901398</v>
      </c>
    </row>
    <row r="110" spans="2:27" x14ac:dyDescent="0.3">
      <c r="B110">
        <f t="shared" si="46"/>
        <v>436</v>
      </c>
      <c r="C110">
        <f t="shared" si="42"/>
        <v>4.2832504558464489E-3</v>
      </c>
      <c r="D110">
        <f t="shared" si="43"/>
        <v>-1.9647937870855329E-3</v>
      </c>
      <c r="E110">
        <f t="shared" si="30"/>
        <v>1.8674971987490516</v>
      </c>
      <c r="F110">
        <f t="shared" si="31"/>
        <v>-37349.94397498115</v>
      </c>
      <c r="J110">
        <f t="shared" si="32"/>
        <v>2.2580817488571103E-3</v>
      </c>
      <c r="K110">
        <f t="shared" si="33"/>
        <v>3.4660644336581916E-4</v>
      </c>
      <c r="L110">
        <f t="shared" si="34"/>
        <v>0.9845236425017001</v>
      </c>
      <c r="M110">
        <f t="shared" si="35"/>
        <v>6588.8498458068752</v>
      </c>
      <c r="P110">
        <f t="shared" si="47"/>
        <v>436</v>
      </c>
      <c r="Q110">
        <f t="shared" si="44"/>
        <v>4.2832504558464489E-3</v>
      </c>
      <c r="R110">
        <f t="shared" si="45"/>
        <v>-1.9647937870855329E-3</v>
      </c>
      <c r="S110">
        <f t="shared" si="36"/>
        <v>1.8674971987490516</v>
      </c>
      <c r="T110">
        <f t="shared" si="37"/>
        <v>-37349.94397498115</v>
      </c>
      <c r="X110">
        <f t="shared" si="38"/>
        <v>2.2580817488571103E-3</v>
      </c>
      <c r="Y110">
        <f t="shared" si="39"/>
        <v>3.4660644336581916E-4</v>
      </c>
      <c r="Z110">
        <f t="shared" si="40"/>
        <v>0.9845236425017001</v>
      </c>
      <c r="AA110">
        <f t="shared" si="41"/>
        <v>6588.8498458068752</v>
      </c>
    </row>
    <row r="111" spans="2:27" x14ac:dyDescent="0.3">
      <c r="B111">
        <f t="shared" si="46"/>
        <v>436.25</v>
      </c>
      <c r="C111">
        <f t="shared" si="42"/>
        <v>2.2807988710590141E-3</v>
      </c>
      <c r="D111">
        <f t="shared" si="43"/>
        <v>-1.0456384509153016E-3</v>
      </c>
      <c r="E111">
        <f t="shared" si="30"/>
        <v>0.99499850749949492</v>
      </c>
      <c r="F111">
        <f t="shared" si="31"/>
        <v>-19899.970149989789</v>
      </c>
      <c r="J111">
        <f t="shared" si="32"/>
        <v>1.2429900582596742E-3</v>
      </c>
      <c r="K111">
        <f t="shared" si="33"/>
        <v>1.5443578350348236E-4</v>
      </c>
      <c r="L111">
        <f t="shared" si="34"/>
        <v>0.54225441291578291</v>
      </c>
      <c r="M111">
        <f t="shared" si="35"/>
        <v>2939.1301353918207</v>
      </c>
      <c r="P111">
        <f t="shared" si="47"/>
        <v>436.25</v>
      </c>
      <c r="Q111">
        <f t="shared" si="44"/>
        <v>2.2807988710590141E-3</v>
      </c>
      <c r="R111">
        <f t="shared" si="45"/>
        <v>-1.0456384509153016E-3</v>
      </c>
      <c r="S111">
        <f t="shared" si="36"/>
        <v>0.99499850749949492</v>
      </c>
      <c r="T111">
        <f t="shared" si="37"/>
        <v>-19899.970149989789</v>
      </c>
      <c r="X111">
        <f t="shared" si="38"/>
        <v>1.2429900582596742E-3</v>
      </c>
      <c r="Y111">
        <f t="shared" si="39"/>
        <v>1.5443578350348236E-4</v>
      </c>
      <c r="Z111">
        <f t="shared" si="40"/>
        <v>0.54225441291578291</v>
      </c>
      <c r="AA111">
        <f t="shared" si="41"/>
        <v>2939.1301353918207</v>
      </c>
    </row>
    <row r="112" spans="2:27" x14ac:dyDescent="0.3">
      <c r="B112">
        <f t="shared" si="46"/>
        <v>436.5</v>
      </c>
      <c r="C112">
        <f t="shared" si="42"/>
        <v>1.1855652319581673E-3</v>
      </c>
      <c r="D112">
        <f t="shared" si="43"/>
        <v>-5.4321431017556338E-4</v>
      </c>
      <c r="E112">
        <f t="shared" si="30"/>
        <v>0.51749922374974</v>
      </c>
      <c r="F112">
        <f t="shared" si="31"/>
        <v>-10349.984474994799</v>
      </c>
      <c r="J112">
        <f t="shared" si="32"/>
        <v>6.3891583832886845E-4</v>
      </c>
      <c r="K112">
        <f t="shared" si="33"/>
        <v>6.0965448234585289E-5</v>
      </c>
      <c r="L112">
        <f t="shared" si="34"/>
        <v>0.27888676343055108</v>
      </c>
      <c r="M112">
        <f t="shared" si="35"/>
        <v>1161.5884024394063</v>
      </c>
      <c r="P112">
        <f t="shared" si="47"/>
        <v>436.5</v>
      </c>
      <c r="Q112">
        <f t="shared" si="44"/>
        <v>1.1855652319581673E-3</v>
      </c>
      <c r="R112">
        <f t="shared" si="45"/>
        <v>-5.4321431017556338E-4</v>
      </c>
      <c r="S112">
        <f t="shared" si="36"/>
        <v>0.51749922374974</v>
      </c>
      <c r="T112">
        <f t="shared" si="37"/>
        <v>-10349.984474994799</v>
      </c>
      <c r="X112">
        <f t="shared" si="38"/>
        <v>6.3891583832886845E-4</v>
      </c>
      <c r="Y112">
        <f t="shared" si="39"/>
        <v>6.0965448234585289E-5</v>
      </c>
      <c r="Z112">
        <f t="shared" si="40"/>
        <v>0.27888676343055108</v>
      </c>
      <c r="AA112">
        <f t="shared" si="41"/>
        <v>1161.5884024394063</v>
      </c>
    </row>
    <row r="113" spans="2:27" x14ac:dyDescent="0.3">
      <c r="B113">
        <f t="shared" si="46"/>
        <v>436.75</v>
      </c>
      <c r="C113">
        <f t="shared" si="42"/>
        <v>5.0944399828252408E-4</v>
      </c>
      <c r="D113">
        <f t="shared" si="43"/>
        <v>-2.332886082576013E-4</v>
      </c>
      <c r="E113">
        <f t="shared" si="30"/>
        <v>0.2224996662498924</v>
      </c>
      <c r="F113">
        <f t="shared" si="31"/>
        <v>-4449.9933249979595</v>
      </c>
      <c r="J113">
        <f t="shared" si="32"/>
        <v>2.946802482527433E-4</v>
      </c>
      <c r="K113">
        <f t="shared" si="33"/>
        <v>2.3382742456789517E-5</v>
      </c>
      <c r="L113">
        <f t="shared" si="34"/>
        <v>0.12870159842438564</v>
      </c>
      <c r="M113">
        <f t="shared" si="35"/>
        <v>446.02712764252323</v>
      </c>
      <c r="P113">
        <f t="shared" si="47"/>
        <v>436.75</v>
      </c>
      <c r="Q113">
        <f t="shared" si="44"/>
        <v>5.0944399828252408E-4</v>
      </c>
      <c r="R113">
        <f t="shared" si="45"/>
        <v>-2.332886082576013E-4</v>
      </c>
      <c r="S113">
        <f t="shared" si="36"/>
        <v>0.2224996662498924</v>
      </c>
      <c r="T113">
        <f t="shared" si="37"/>
        <v>-4449.9933249979595</v>
      </c>
      <c r="X113">
        <f t="shared" si="38"/>
        <v>2.946802482527433E-4</v>
      </c>
      <c r="Y113">
        <f t="shared" si="39"/>
        <v>2.3382742456789517E-5</v>
      </c>
      <c r="Z113">
        <f t="shared" si="40"/>
        <v>0.12870159842438564</v>
      </c>
      <c r="AA113">
        <f t="shared" si="41"/>
        <v>446.02712764252323</v>
      </c>
    </row>
    <row r="114" spans="2:27" x14ac:dyDescent="0.3">
      <c r="B114">
        <f t="shared" si="46"/>
        <v>437</v>
      </c>
      <c r="C114">
        <f t="shared" si="42"/>
        <v>1.9450771739120797E-4</v>
      </c>
      <c r="D114">
        <f t="shared" si="43"/>
        <v>-8.9019550293459017E-5</v>
      </c>
      <c r="E114">
        <f t="shared" si="30"/>
        <v>8.4999872499957885E-2</v>
      </c>
      <c r="F114">
        <f t="shared" si="31"/>
        <v>-1699.9974499991572</v>
      </c>
      <c r="J114">
        <f t="shared" si="32"/>
        <v>1.2069566275973997E-4</v>
      </c>
      <c r="K114">
        <f t="shared" si="33"/>
        <v>7.462840510052675E-6</v>
      </c>
      <c r="L114">
        <f t="shared" si="34"/>
        <v>5.2744004626006369E-2</v>
      </c>
      <c r="M114">
        <f t="shared" si="35"/>
        <v>142.51711893642494</v>
      </c>
      <c r="P114">
        <f t="shared" si="47"/>
        <v>437</v>
      </c>
      <c r="Q114">
        <f t="shared" si="44"/>
        <v>1.9450771739120797E-4</v>
      </c>
      <c r="R114">
        <f t="shared" si="45"/>
        <v>-8.9019550293459017E-5</v>
      </c>
      <c r="S114">
        <f t="shared" si="36"/>
        <v>8.4999872499957885E-2</v>
      </c>
      <c r="T114">
        <f t="shared" si="37"/>
        <v>-1699.9974499991572</v>
      </c>
      <c r="X114">
        <f t="shared" si="38"/>
        <v>1.2069566275973997E-4</v>
      </c>
      <c r="Y114">
        <f t="shared" si="39"/>
        <v>7.462840510052675E-6</v>
      </c>
      <c r="Z114">
        <f t="shared" si="40"/>
        <v>5.2744004626006369E-2</v>
      </c>
      <c r="AA114">
        <f t="shared" si="41"/>
        <v>142.51711893642494</v>
      </c>
    </row>
    <row r="115" spans="2:27" x14ac:dyDescent="0.3">
      <c r="B115">
        <f t="shared" si="46"/>
        <v>437.25</v>
      </c>
      <c r="C115">
        <f t="shared" si="42"/>
        <v>9.1480708976523904E-5</v>
      </c>
      <c r="D115">
        <f t="shared" si="43"/>
        <v>-4.1843663339753724E-5</v>
      </c>
      <c r="E115">
        <f t="shared" si="30"/>
        <v>3.9999939999985079E-2</v>
      </c>
      <c r="F115">
        <f t="shared" si="31"/>
        <v>-799.99879999981238</v>
      </c>
      <c r="J115">
        <f t="shared" si="32"/>
        <v>4.7708791574341269E-5</v>
      </c>
      <c r="K115">
        <f t="shared" si="33"/>
        <v>2.2360949761645947E-6</v>
      </c>
      <c r="L115">
        <f t="shared" si="34"/>
        <v>2.086066911588072E-2</v>
      </c>
      <c r="M115">
        <f t="shared" si="35"/>
        <v>42.751354801140444</v>
      </c>
      <c r="P115">
        <f t="shared" si="47"/>
        <v>437.25</v>
      </c>
      <c r="Q115">
        <f t="shared" si="44"/>
        <v>9.1480708976523904E-5</v>
      </c>
      <c r="R115">
        <f t="shared" si="45"/>
        <v>-4.1843663339753724E-5</v>
      </c>
      <c r="S115">
        <f t="shared" si="36"/>
        <v>3.9999939999985079E-2</v>
      </c>
      <c r="T115">
        <f t="shared" si="37"/>
        <v>-799.99879999981238</v>
      </c>
      <c r="X115">
        <f t="shared" si="38"/>
        <v>4.7708791574341269E-5</v>
      </c>
      <c r="Y115">
        <f t="shared" si="39"/>
        <v>2.2360949761645947E-6</v>
      </c>
      <c r="Z115">
        <f t="shared" si="40"/>
        <v>2.086066911588072E-2</v>
      </c>
      <c r="AA115">
        <f t="shared" si="41"/>
        <v>42.751354801140444</v>
      </c>
    </row>
    <row r="116" spans="2:27" x14ac:dyDescent="0.3">
      <c r="B116">
        <f t="shared" si="46"/>
        <v>437.5</v>
      </c>
      <c r="C116">
        <f t="shared" si="42"/>
        <v>3.4285662857134824E-5</v>
      </c>
      <c r="D116">
        <f t="shared" si="43"/>
        <v>-1.5673445877547348E-5</v>
      </c>
      <c r="E116">
        <f t="shared" si="30"/>
        <v>1.4999977499996485E-2</v>
      </c>
      <c r="F116">
        <f t="shared" si="31"/>
        <v>-299.99954999992968</v>
      </c>
      <c r="J116">
        <f t="shared" si="32"/>
        <v>1.645961250140715E-5</v>
      </c>
      <c r="K116">
        <f t="shared" si="33"/>
        <v>2.7662200520761854E-7</v>
      </c>
      <c r="L116">
        <f t="shared" si="34"/>
        <v>7.2010804693656283E-3</v>
      </c>
      <c r="M116">
        <f t="shared" si="35"/>
        <v>5.2947180684270734</v>
      </c>
      <c r="P116">
        <f t="shared" si="47"/>
        <v>437.5</v>
      </c>
      <c r="Q116">
        <f t="shared" si="44"/>
        <v>3.4285662857134824E-5</v>
      </c>
      <c r="R116">
        <f t="shared" si="45"/>
        <v>-1.5673445877547348E-5</v>
      </c>
      <c r="S116">
        <f t="shared" si="36"/>
        <v>1.4999977499996485E-2</v>
      </c>
      <c r="T116">
        <f t="shared" si="37"/>
        <v>-299.99954999992968</v>
      </c>
      <c r="X116">
        <f t="shared" si="38"/>
        <v>1.645961250140715E-5</v>
      </c>
      <c r="Y116">
        <f t="shared" si="39"/>
        <v>2.7662200520761854E-7</v>
      </c>
      <c r="Z116">
        <f t="shared" si="40"/>
        <v>7.2010804693656283E-3</v>
      </c>
      <c r="AA116">
        <f t="shared" si="41"/>
        <v>5.2947180684270734</v>
      </c>
    </row>
    <row r="117" spans="2:27" x14ac:dyDescent="0.3">
      <c r="B117">
        <f t="shared" si="46"/>
        <v>437.75</v>
      </c>
      <c r="C117">
        <f t="shared" si="42"/>
        <v>1.1422027412904234E-5</v>
      </c>
      <c r="D117">
        <f t="shared" si="43"/>
        <v>-5.2185162366210091E-6</v>
      </c>
      <c r="E117">
        <f t="shared" si="30"/>
        <v>4.9999924999988288E-3</v>
      </c>
      <c r="F117">
        <f t="shared" si="31"/>
        <v>-99.999849999976561</v>
      </c>
      <c r="J117">
        <f t="shared" si="32"/>
        <v>5.182539854597934E-6</v>
      </c>
      <c r="K117">
        <f t="shared" si="33"/>
        <v>-4.8203796749609937E-15</v>
      </c>
      <c r="L117">
        <f t="shared" si="34"/>
        <v>2.2686568213502456E-3</v>
      </c>
      <c r="M117">
        <f t="shared" si="35"/>
        <v>-9.2370555648813011E-8</v>
      </c>
      <c r="P117">
        <f t="shared" si="47"/>
        <v>437.75</v>
      </c>
      <c r="Q117">
        <f t="shared" si="44"/>
        <v>1.1422027412904234E-5</v>
      </c>
      <c r="R117">
        <f t="shared" si="45"/>
        <v>-5.2185162366210091E-6</v>
      </c>
      <c r="S117">
        <f t="shared" si="36"/>
        <v>4.9999924999988288E-3</v>
      </c>
      <c r="T117">
        <f t="shared" si="37"/>
        <v>-99.999849999976561</v>
      </c>
      <c r="X117">
        <f t="shared" si="38"/>
        <v>5.182539854597934E-6</v>
      </c>
      <c r="Y117">
        <f t="shared" si="39"/>
        <v>-4.8203796749609937E-15</v>
      </c>
      <c r="Z117">
        <f t="shared" si="40"/>
        <v>2.2686568213502456E-3</v>
      </c>
      <c r="AA117">
        <f t="shared" si="41"/>
        <v>-9.2370555648813011E-8</v>
      </c>
    </row>
    <row r="118" spans="2:27" x14ac:dyDescent="0.3">
      <c r="B118">
        <f t="shared" si="46"/>
        <v>438</v>
      </c>
      <c r="C118">
        <f t="shared" si="42"/>
        <v>0</v>
      </c>
      <c r="D118">
        <f t="shared" si="43"/>
        <v>0</v>
      </c>
      <c r="E118">
        <f t="shared" si="30"/>
        <v>0</v>
      </c>
      <c r="F118">
        <f t="shared" si="31"/>
        <v>0</v>
      </c>
      <c r="J118">
        <f t="shared" si="32"/>
        <v>7.0621942371840163E-7</v>
      </c>
      <c r="K118" t="e">
        <f t="shared" si="33"/>
        <v>#NUM!</v>
      </c>
      <c r="L118">
        <f t="shared" si="34"/>
        <v>3.0932410758865991E-4</v>
      </c>
      <c r="M118" t="e">
        <f t="shared" si="35"/>
        <v>#NUM!</v>
      </c>
      <c r="P118">
        <f t="shared" si="47"/>
        <v>438</v>
      </c>
      <c r="Q118">
        <f t="shared" si="44"/>
        <v>0</v>
      </c>
      <c r="R118">
        <f t="shared" si="45"/>
        <v>0</v>
      </c>
      <c r="S118">
        <f t="shared" si="36"/>
        <v>0</v>
      </c>
      <c r="T118">
        <f t="shared" si="37"/>
        <v>0</v>
      </c>
      <c r="X118">
        <f t="shared" si="38"/>
        <v>7.0621942371840163E-7</v>
      </c>
      <c r="Y118" t="e">
        <f t="shared" si="39"/>
        <v>#NUM!</v>
      </c>
      <c r="Z118">
        <f t="shared" si="40"/>
        <v>3.0932410758865991E-4</v>
      </c>
      <c r="AA118" t="e">
        <f t="shared" si="41"/>
        <v>#NUM!</v>
      </c>
    </row>
    <row r="119" spans="2:27" x14ac:dyDescent="0.3">
      <c r="B119">
        <f t="shared" si="46"/>
        <v>438.25</v>
      </c>
      <c r="C119">
        <f t="shared" si="42"/>
        <v>0</v>
      </c>
      <c r="D119">
        <f t="shared" si="43"/>
        <v>0</v>
      </c>
      <c r="E119">
        <f t="shared" si="30"/>
        <v>0</v>
      </c>
      <c r="F119">
        <f t="shared" si="31"/>
        <v>0</v>
      </c>
      <c r="J119">
        <f t="shared" si="32"/>
        <v>0</v>
      </c>
      <c r="K119" t="e">
        <f t="shared" si="33"/>
        <v>#NUM!</v>
      </c>
      <c r="L119">
        <f t="shared" si="34"/>
        <v>0</v>
      </c>
      <c r="M119" t="e">
        <f t="shared" si="35"/>
        <v>#NUM!</v>
      </c>
      <c r="P119">
        <f t="shared" si="47"/>
        <v>438.25</v>
      </c>
      <c r="Q119">
        <f t="shared" si="44"/>
        <v>0</v>
      </c>
      <c r="R119">
        <f t="shared" si="45"/>
        <v>0</v>
      </c>
      <c r="S119">
        <f t="shared" si="36"/>
        <v>0</v>
      </c>
      <c r="T119">
        <f t="shared" si="37"/>
        <v>0</v>
      </c>
      <c r="X119">
        <f t="shared" si="38"/>
        <v>0</v>
      </c>
      <c r="Y119" t="e">
        <f t="shared" si="39"/>
        <v>#NUM!</v>
      </c>
      <c r="Z119">
        <f t="shared" si="40"/>
        <v>0</v>
      </c>
      <c r="AA119" t="e">
        <f t="shared" si="41"/>
        <v>#NUM!</v>
      </c>
    </row>
    <row r="120" spans="2:27" x14ac:dyDescent="0.3">
      <c r="B120">
        <f t="shared" si="46"/>
        <v>438.5</v>
      </c>
      <c r="C120">
        <f t="shared" si="42"/>
        <v>0</v>
      </c>
      <c r="D120">
        <f t="shared" si="43"/>
        <v>0</v>
      </c>
      <c r="E120">
        <f t="shared" si="30"/>
        <v>0</v>
      </c>
      <c r="F120">
        <f t="shared" si="31"/>
        <v>0</v>
      </c>
      <c r="J120">
        <f t="shared" si="32"/>
        <v>9.7699626167013776E-15</v>
      </c>
      <c r="K120" t="e">
        <f t="shared" si="33"/>
        <v>#NUM!</v>
      </c>
      <c r="L120">
        <f t="shared" si="34"/>
        <v>4.2841286074235541E-12</v>
      </c>
      <c r="M120" t="e">
        <f t="shared" si="35"/>
        <v>#NUM!</v>
      </c>
      <c r="P120">
        <f t="shared" si="47"/>
        <v>438.5</v>
      </c>
      <c r="Q120">
        <f t="shared" si="44"/>
        <v>0</v>
      </c>
      <c r="R120">
        <f t="shared" si="45"/>
        <v>0</v>
      </c>
      <c r="S120">
        <f t="shared" si="36"/>
        <v>0</v>
      </c>
      <c r="T120">
        <f t="shared" si="37"/>
        <v>0</v>
      </c>
      <c r="X120">
        <f t="shared" si="38"/>
        <v>9.7699626167013776E-15</v>
      </c>
      <c r="Y120" t="e">
        <f t="shared" si="39"/>
        <v>#NUM!</v>
      </c>
      <c r="Z120">
        <f t="shared" si="40"/>
        <v>4.2841286074235541E-12</v>
      </c>
      <c r="AA120" t="e">
        <f t="shared" si="41"/>
        <v>#NUM!</v>
      </c>
    </row>
    <row r="121" spans="2:27" x14ac:dyDescent="0.3">
      <c r="B121">
        <f t="shared" si="46"/>
        <v>438.75</v>
      </c>
      <c r="C121">
        <f t="shared" si="42"/>
        <v>0</v>
      </c>
      <c r="D121">
        <f t="shared" si="43"/>
        <v>0</v>
      </c>
      <c r="E121">
        <f t="shared" si="30"/>
        <v>0</v>
      </c>
      <c r="F121">
        <f t="shared" si="31"/>
        <v>0</v>
      </c>
      <c r="J121">
        <f t="shared" si="32"/>
        <v>-5.773159728050814E-15</v>
      </c>
      <c r="K121" t="e">
        <f t="shared" si="33"/>
        <v>#NUM!</v>
      </c>
      <c r="L121">
        <f t="shared" si="34"/>
        <v>-2.5329738306822946E-12</v>
      </c>
      <c r="M121" t="e">
        <f t="shared" si="35"/>
        <v>#NUM!</v>
      </c>
      <c r="P121">
        <f t="shared" si="47"/>
        <v>438.75</v>
      </c>
      <c r="Q121">
        <f t="shared" si="44"/>
        <v>0</v>
      </c>
      <c r="R121">
        <f t="shared" si="45"/>
        <v>0</v>
      </c>
      <c r="S121">
        <f t="shared" si="36"/>
        <v>0</v>
      </c>
      <c r="T121">
        <f t="shared" si="37"/>
        <v>0</v>
      </c>
      <c r="X121">
        <f t="shared" si="38"/>
        <v>-5.773159728050814E-15</v>
      </c>
      <c r="Y121" t="e">
        <f t="shared" si="39"/>
        <v>#NUM!</v>
      </c>
      <c r="Z121">
        <f t="shared" si="40"/>
        <v>-2.5329738306822946E-12</v>
      </c>
      <c r="AA121" t="e">
        <f t="shared" si="41"/>
        <v>#NUM!</v>
      </c>
    </row>
    <row r="122" spans="2:27" x14ac:dyDescent="0.3">
      <c r="B122">
        <f t="shared" si="46"/>
        <v>439</v>
      </c>
      <c r="C122">
        <f t="shared" si="42"/>
        <v>0</v>
      </c>
      <c r="D122">
        <f t="shared" si="43"/>
        <v>0</v>
      </c>
      <c r="E122">
        <f t="shared" ref="E122:E146" si="48">C122*B122</f>
        <v>0</v>
      </c>
      <c r="F122">
        <f t="shared" ref="F122:F146" si="49">D122*B122^2/0.01</f>
        <v>0</v>
      </c>
      <c r="J122">
        <f t="shared" ref="J122:J146" si="50">getDelta($B$2,$C$1,$D$2,B122,$K$3,$D$3,$E$3,$F$3,$G$3)-getDelta($B$2,$C$1,$D$2,B122,$N$3,$D$3,$E$3,$F$3,$G$3)</f>
        <v>1.0880185641326534E-14</v>
      </c>
      <c r="K122" t="e">
        <f t="shared" ref="K122:K146" si="51">getGamma($B$2,$C$1,$D$2,B122,$K$3,$D$3,$E$3,$F$3,$G$3)-getGamma($B$2,$C$1,$D$2,C122,$N$3,$D$3,$E$3,$F$3,$G$3)</f>
        <v>#NUM!</v>
      </c>
      <c r="L122">
        <f t="shared" ref="L122:L146" si="52">J122*B122</f>
        <v>4.7764014965423485E-12</v>
      </c>
      <c r="M122" t="e">
        <f t="shared" ref="M122:M146" si="53">K122*B122^2/0.01</f>
        <v>#NUM!</v>
      </c>
      <c r="P122">
        <f t="shared" si="47"/>
        <v>439</v>
      </c>
      <c r="Q122">
        <f t="shared" si="44"/>
        <v>0</v>
      </c>
      <c r="R122">
        <f t="shared" si="45"/>
        <v>0</v>
      </c>
      <c r="S122">
        <f t="shared" ref="S122:S146" si="54">Q122*P122</f>
        <v>0</v>
      </c>
      <c r="T122">
        <f t="shared" ref="T122:T146" si="55">R122*P122^2/0.01</f>
        <v>0</v>
      </c>
      <c r="X122">
        <f t="shared" ref="X122:X146" si="56">getDelta($B$2,$C$1,$D$2,P122,$K$3,$D$3,$E$3,$F$3,$G$3)-getDelta($B$2,$C$1,$D$2,P122,$N$3,$D$3,$E$3,$F$3,$G$3)</f>
        <v>1.0880185641326534E-14</v>
      </c>
      <c r="Y122" t="e">
        <f t="shared" ref="Y122:Y146" si="57">getGamma($B$2,$C$1,$D$2,P122,$K$3,$D$3,$E$3,$F$3,$G$3)-getGamma($B$2,$C$1,$D$2,Q122,$N$3,$D$3,$E$3,$F$3,$G$3)</f>
        <v>#NUM!</v>
      </c>
      <c r="Z122">
        <f t="shared" ref="Z122:Z146" si="58">X122*P122</f>
        <v>4.7764014965423485E-12</v>
      </c>
      <c r="AA122" t="e">
        <f t="shared" ref="AA122:AA146" si="59">Y122*P122^2/0.01</f>
        <v>#NUM!</v>
      </c>
    </row>
    <row r="123" spans="2:27" x14ac:dyDescent="0.3">
      <c r="B123">
        <f t="shared" si="46"/>
        <v>439.25</v>
      </c>
      <c r="C123">
        <f t="shared" si="42"/>
        <v>0</v>
      </c>
      <c r="D123">
        <f t="shared" si="43"/>
        <v>0</v>
      </c>
      <c r="E123">
        <f t="shared" si="48"/>
        <v>0</v>
      </c>
      <c r="F123">
        <f t="shared" si="49"/>
        <v>0</v>
      </c>
      <c r="J123">
        <f t="shared" si="50"/>
        <v>1.1324274851176597E-14</v>
      </c>
      <c r="K123" t="e">
        <f t="shared" si="51"/>
        <v>#NUM!</v>
      </c>
      <c r="L123">
        <f t="shared" si="52"/>
        <v>4.9741877283793201E-12</v>
      </c>
      <c r="M123" t="e">
        <f t="shared" si="53"/>
        <v>#NUM!</v>
      </c>
      <c r="P123">
        <f t="shared" si="47"/>
        <v>439.25</v>
      </c>
      <c r="Q123">
        <f t="shared" si="44"/>
        <v>0</v>
      </c>
      <c r="R123">
        <f t="shared" si="45"/>
        <v>0</v>
      </c>
      <c r="S123">
        <f t="shared" si="54"/>
        <v>0</v>
      </c>
      <c r="T123">
        <f t="shared" si="55"/>
        <v>0</v>
      </c>
      <c r="X123">
        <f t="shared" si="56"/>
        <v>1.1324274851176597E-14</v>
      </c>
      <c r="Y123" t="e">
        <f t="shared" si="57"/>
        <v>#NUM!</v>
      </c>
      <c r="Z123">
        <f t="shared" si="58"/>
        <v>4.9741877283793201E-12</v>
      </c>
      <c r="AA123" t="e">
        <f t="shared" si="59"/>
        <v>#NUM!</v>
      </c>
    </row>
    <row r="124" spans="2:27" x14ac:dyDescent="0.3">
      <c r="B124">
        <f t="shared" si="46"/>
        <v>439.5</v>
      </c>
      <c r="C124">
        <f t="shared" si="42"/>
        <v>0</v>
      </c>
      <c r="D124">
        <f t="shared" si="43"/>
        <v>0</v>
      </c>
      <c r="E124">
        <f t="shared" si="48"/>
        <v>0</v>
      </c>
      <c r="F124">
        <f t="shared" si="49"/>
        <v>0</v>
      </c>
      <c r="J124">
        <f t="shared" si="50"/>
        <v>5.9952043329758453E-15</v>
      </c>
      <c r="K124" t="e">
        <f t="shared" si="51"/>
        <v>#NUM!</v>
      </c>
      <c r="L124">
        <f t="shared" si="52"/>
        <v>2.634892304342884E-12</v>
      </c>
      <c r="M124" t="e">
        <f t="shared" si="53"/>
        <v>#NUM!</v>
      </c>
      <c r="P124">
        <f t="shared" si="47"/>
        <v>439.5</v>
      </c>
      <c r="Q124">
        <f t="shared" si="44"/>
        <v>0</v>
      </c>
      <c r="R124">
        <f t="shared" si="45"/>
        <v>0</v>
      </c>
      <c r="S124">
        <f t="shared" si="54"/>
        <v>0</v>
      </c>
      <c r="T124">
        <f t="shared" si="55"/>
        <v>0</v>
      </c>
      <c r="X124">
        <f t="shared" si="56"/>
        <v>5.9952043329758453E-15</v>
      </c>
      <c r="Y124" t="e">
        <f t="shared" si="57"/>
        <v>#NUM!</v>
      </c>
      <c r="Z124">
        <f t="shared" si="58"/>
        <v>2.634892304342884E-12</v>
      </c>
      <c r="AA124" t="e">
        <f t="shared" si="59"/>
        <v>#NUM!</v>
      </c>
    </row>
    <row r="125" spans="2:27" x14ac:dyDescent="0.3">
      <c r="B125">
        <f t="shared" si="46"/>
        <v>439.75</v>
      </c>
      <c r="C125">
        <f t="shared" si="42"/>
        <v>0</v>
      </c>
      <c r="D125">
        <f t="shared" si="43"/>
        <v>0</v>
      </c>
      <c r="E125">
        <f t="shared" si="48"/>
        <v>0</v>
      </c>
      <c r="F125">
        <f t="shared" si="49"/>
        <v>0</v>
      </c>
      <c r="J125">
        <f t="shared" si="50"/>
        <v>-2.6645352591003757E-15</v>
      </c>
      <c r="K125" t="e">
        <f t="shared" si="51"/>
        <v>#NUM!</v>
      </c>
      <c r="L125">
        <f t="shared" si="52"/>
        <v>-1.1717293801893902E-12</v>
      </c>
      <c r="M125" t="e">
        <f t="shared" si="53"/>
        <v>#NUM!</v>
      </c>
      <c r="P125">
        <f t="shared" si="47"/>
        <v>439.75</v>
      </c>
      <c r="Q125">
        <f t="shared" si="44"/>
        <v>0</v>
      </c>
      <c r="R125">
        <f t="shared" si="45"/>
        <v>0</v>
      </c>
      <c r="S125">
        <f t="shared" si="54"/>
        <v>0</v>
      </c>
      <c r="T125">
        <f t="shared" si="55"/>
        <v>0</v>
      </c>
      <c r="X125">
        <f t="shared" si="56"/>
        <v>-2.6645352591003757E-15</v>
      </c>
      <c r="Y125" t="e">
        <f t="shared" si="57"/>
        <v>#NUM!</v>
      </c>
      <c r="Z125">
        <f t="shared" si="58"/>
        <v>-1.1717293801893902E-12</v>
      </c>
      <c r="AA125" t="e">
        <f t="shared" si="59"/>
        <v>#NUM!</v>
      </c>
    </row>
    <row r="126" spans="2:27" x14ac:dyDescent="0.3">
      <c r="B126">
        <f t="shared" si="46"/>
        <v>440</v>
      </c>
      <c r="C126">
        <f t="shared" si="42"/>
        <v>0</v>
      </c>
      <c r="D126">
        <f t="shared" si="43"/>
        <v>0</v>
      </c>
      <c r="E126">
        <f t="shared" si="48"/>
        <v>0</v>
      </c>
      <c r="F126">
        <f t="shared" si="49"/>
        <v>0</v>
      </c>
      <c r="J126">
        <f t="shared" si="50"/>
        <v>-2.6645352591003757E-15</v>
      </c>
      <c r="K126" t="e">
        <f t="shared" si="51"/>
        <v>#NUM!</v>
      </c>
      <c r="L126">
        <f t="shared" si="52"/>
        <v>-1.1723955140041653E-12</v>
      </c>
      <c r="M126" t="e">
        <f t="shared" si="53"/>
        <v>#NUM!</v>
      </c>
      <c r="P126">
        <f t="shared" si="47"/>
        <v>440</v>
      </c>
      <c r="Q126">
        <f t="shared" si="44"/>
        <v>0</v>
      </c>
      <c r="R126">
        <f t="shared" si="45"/>
        <v>0</v>
      </c>
      <c r="S126">
        <f t="shared" si="54"/>
        <v>0</v>
      </c>
      <c r="T126">
        <f t="shared" si="55"/>
        <v>0</v>
      </c>
      <c r="X126">
        <f t="shared" si="56"/>
        <v>-2.6645352591003757E-15</v>
      </c>
      <c r="Y126" t="e">
        <f t="shared" si="57"/>
        <v>#NUM!</v>
      </c>
      <c r="Z126">
        <f t="shared" si="58"/>
        <v>-1.1723955140041653E-12</v>
      </c>
      <c r="AA126" t="e">
        <f t="shared" si="59"/>
        <v>#NUM!</v>
      </c>
    </row>
    <row r="127" spans="2:27" x14ac:dyDescent="0.3">
      <c r="B127">
        <f t="shared" si="46"/>
        <v>440.25</v>
      </c>
      <c r="C127">
        <f t="shared" si="42"/>
        <v>0</v>
      </c>
      <c r="D127">
        <f t="shared" si="43"/>
        <v>0</v>
      </c>
      <c r="E127">
        <f t="shared" si="48"/>
        <v>0</v>
      </c>
      <c r="F127">
        <f t="shared" si="49"/>
        <v>0</v>
      </c>
      <c r="J127">
        <f t="shared" si="50"/>
        <v>-2.886579864025407E-15</v>
      </c>
      <c r="K127" t="e">
        <f t="shared" si="51"/>
        <v>#NUM!</v>
      </c>
      <c r="L127">
        <f t="shared" si="52"/>
        <v>-1.2708167851371854E-12</v>
      </c>
      <c r="M127" t="e">
        <f t="shared" si="53"/>
        <v>#NUM!</v>
      </c>
      <c r="P127">
        <f t="shared" si="47"/>
        <v>440.25</v>
      </c>
      <c r="Q127">
        <f t="shared" si="44"/>
        <v>0</v>
      </c>
      <c r="R127">
        <f t="shared" si="45"/>
        <v>0</v>
      </c>
      <c r="S127">
        <f t="shared" si="54"/>
        <v>0</v>
      </c>
      <c r="T127">
        <f t="shared" si="55"/>
        <v>0</v>
      </c>
      <c r="X127">
        <f t="shared" si="56"/>
        <v>-2.886579864025407E-15</v>
      </c>
      <c r="Y127" t="e">
        <f t="shared" si="57"/>
        <v>#NUM!</v>
      </c>
      <c r="Z127">
        <f t="shared" si="58"/>
        <v>-1.2708167851371854E-12</v>
      </c>
      <c r="AA127" t="e">
        <f t="shared" si="59"/>
        <v>#NUM!</v>
      </c>
    </row>
    <row r="128" spans="2:27" x14ac:dyDescent="0.3">
      <c r="B128">
        <f t="shared" si="46"/>
        <v>440.5</v>
      </c>
      <c r="C128">
        <f t="shared" si="42"/>
        <v>0</v>
      </c>
      <c r="D128">
        <f t="shared" si="43"/>
        <v>0</v>
      </c>
      <c r="E128">
        <f t="shared" si="48"/>
        <v>0</v>
      </c>
      <c r="F128">
        <f t="shared" si="49"/>
        <v>0</v>
      </c>
      <c r="J128">
        <f t="shared" si="50"/>
        <v>1.1546319456101628E-14</v>
      </c>
      <c r="K128" t="e">
        <f t="shared" si="51"/>
        <v>#NUM!</v>
      </c>
      <c r="L128">
        <f t="shared" si="52"/>
        <v>5.0861537204127671E-12</v>
      </c>
      <c r="M128" t="e">
        <f t="shared" si="53"/>
        <v>#NUM!</v>
      </c>
      <c r="P128">
        <f t="shared" si="47"/>
        <v>440.5</v>
      </c>
      <c r="Q128">
        <f t="shared" si="44"/>
        <v>0</v>
      </c>
      <c r="R128">
        <f t="shared" si="45"/>
        <v>0</v>
      </c>
      <c r="S128">
        <f t="shared" si="54"/>
        <v>0</v>
      </c>
      <c r="T128">
        <f t="shared" si="55"/>
        <v>0</v>
      </c>
      <c r="X128">
        <f t="shared" si="56"/>
        <v>1.1546319456101628E-14</v>
      </c>
      <c r="Y128" t="e">
        <f t="shared" si="57"/>
        <v>#NUM!</v>
      </c>
      <c r="Z128">
        <f t="shared" si="58"/>
        <v>5.0861537204127671E-12</v>
      </c>
      <c r="AA128" t="e">
        <f t="shared" si="59"/>
        <v>#NUM!</v>
      </c>
    </row>
    <row r="129" spans="2:27" x14ac:dyDescent="0.3">
      <c r="B129">
        <f t="shared" si="46"/>
        <v>440.75</v>
      </c>
      <c r="C129">
        <f t="shared" si="42"/>
        <v>0</v>
      </c>
      <c r="D129">
        <f t="shared" si="43"/>
        <v>0</v>
      </c>
      <c r="E129">
        <f t="shared" si="48"/>
        <v>0</v>
      </c>
      <c r="F129">
        <f t="shared" si="49"/>
        <v>0</v>
      </c>
      <c r="J129">
        <f t="shared" si="50"/>
        <v>7.5495165674510645E-15</v>
      </c>
      <c r="K129" t="e">
        <f t="shared" si="51"/>
        <v>#NUM!</v>
      </c>
      <c r="L129">
        <f t="shared" si="52"/>
        <v>3.3274494271040567E-12</v>
      </c>
      <c r="M129" t="e">
        <f t="shared" si="53"/>
        <v>#NUM!</v>
      </c>
      <c r="P129">
        <f t="shared" si="47"/>
        <v>440.75</v>
      </c>
      <c r="Q129">
        <f t="shared" si="44"/>
        <v>0</v>
      </c>
      <c r="R129">
        <f t="shared" si="45"/>
        <v>0</v>
      </c>
      <c r="S129">
        <f t="shared" si="54"/>
        <v>0</v>
      </c>
      <c r="T129">
        <f t="shared" si="55"/>
        <v>0</v>
      </c>
      <c r="X129">
        <f t="shared" si="56"/>
        <v>7.5495165674510645E-15</v>
      </c>
      <c r="Y129" t="e">
        <f t="shared" si="57"/>
        <v>#NUM!</v>
      </c>
      <c r="Z129">
        <f t="shared" si="58"/>
        <v>3.3274494271040567E-12</v>
      </c>
      <c r="AA129" t="e">
        <f t="shared" si="59"/>
        <v>#NUM!</v>
      </c>
    </row>
    <row r="130" spans="2:27" x14ac:dyDescent="0.3">
      <c r="B130">
        <f t="shared" si="46"/>
        <v>441</v>
      </c>
      <c r="C130">
        <f t="shared" si="42"/>
        <v>0</v>
      </c>
      <c r="D130">
        <f t="shared" si="43"/>
        <v>0</v>
      </c>
      <c r="E130">
        <f t="shared" si="48"/>
        <v>0</v>
      </c>
      <c r="F130">
        <f t="shared" si="49"/>
        <v>0</v>
      </c>
      <c r="J130">
        <f t="shared" si="50"/>
        <v>0</v>
      </c>
      <c r="K130" t="e">
        <f t="shared" si="51"/>
        <v>#NUM!</v>
      </c>
      <c r="L130">
        <f t="shared" si="52"/>
        <v>0</v>
      </c>
      <c r="M130" t="e">
        <f t="shared" si="53"/>
        <v>#NUM!</v>
      </c>
      <c r="P130">
        <f t="shared" si="47"/>
        <v>441</v>
      </c>
      <c r="Q130">
        <f t="shared" si="44"/>
        <v>0</v>
      </c>
      <c r="R130">
        <f t="shared" si="45"/>
        <v>0</v>
      </c>
      <c r="S130">
        <f t="shared" si="54"/>
        <v>0</v>
      </c>
      <c r="T130">
        <f t="shared" si="55"/>
        <v>0</v>
      </c>
      <c r="X130">
        <f t="shared" si="56"/>
        <v>0</v>
      </c>
      <c r="Y130" t="e">
        <f t="shared" si="57"/>
        <v>#NUM!</v>
      </c>
      <c r="Z130">
        <f t="shared" si="58"/>
        <v>0</v>
      </c>
      <c r="AA130" t="e">
        <f t="shared" si="59"/>
        <v>#NUM!</v>
      </c>
    </row>
    <row r="131" spans="2:27" x14ac:dyDescent="0.3">
      <c r="B131">
        <f t="shared" si="46"/>
        <v>441.25</v>
      </c>
      <c r="C131">
        <f t="shared" si="42"/>
        <v>0</v>
      </c>
      <c r="D131">
        <f t="shared" si="43"/>
        <v>0</v>
      </c>
      <c r="E131">
        <f t="shared" si="48"/>
        <v>0</v>
      </c>
      <c r="F131">
        <f t="shared" si="49"/>
        <v>0</v>
      </c>
      <c r="J131">
        <f t="shared" si="50"/>
        <v>1.2212453270876722E-14</v>
      </c>
      <c r="K131" t="e">
        <f t="shared" si="51"/>
        <v>#NUM!</v>
      </c>
      <c r="L131">
        <f t="shared" si="52"/>
        <v>5.3887450057743536E-12</v>
      </c>
      <c r="M131" t="e">
        <f t="shared" si="53"/>
        <v>#NUM!</v>
      </c>
      <c r="P131">
        <f t="shared" si="47"/>
        <v>441.25</v>
      </c>
      <c r="Q131">
        <f t="shared" si="44"/>
        <v>0</v>
      </c>
      <c r="R131">
        <f t="shared" si="45"/>
        <v>0</v>
      </c>
      <c r="S131">
        <f t="shared" si="54"/>
        <v>0</v>
      </c>
      <c r="T131">
        <f t="shared" si="55"/>
        <v>0</v>
      </c>
      <c r="X131">
        <f t="shared" si="56"/>
        <v>1.2212453270876722E-14</v>
      </c>
      <c r="Y131" t="e">
        <f t="shared" si="57"/>
        <v>#NUM!</v>
      </c>
      <c r="Z131">
        <f t="shared" si="58"/>
        <v>5.3887450057743536E-12</v>
      </c>
      <c r="AA131" t="e">
        <f t="shared" si="59"/>
        <v>#NUM!</v>
      </c>
    </row>
    <row r="132" spans="2:27" x14ac:dyDescent="0.3">
      <c r="B132">
        <f t="shared" si="46"/>
        <v>441.5</v>
      </c>
      <c r="C132">
        <f t="shared" si="42"/>
        <v>0</v>
      </c>
      <c r="D132">
        <f t="shared" si="43"/>
        <v>0</v>
      </c>
      <c r="E132">
        <f t="shared" si="48"/>
        <v>0</v>
      </c>
      <c r="F132">
        <f t="shared" si="49"/>
        <v>0</v>
      </c>
      <c r="J132">
        <f t="shared" si="50"/>
        <v>-9.3258734068513149E-15</v>
      </c>
      <c r="K132" t="e">
        <f t="shared" si="51"/>
        <v>#NUM!</v>
      </c>
      <c r="L132">
        <f t="shared" si="52"/>
        <v>-4.1173731091248555E-12</v>
      </c>
      <c r="M132" t="e">
        <f t="shared" si="53"/>
        <v>#NUM!</v>
      </c>
      <c r="P132">
        <f t="shared" si="47"/>
        <v>441.5</v>
      </c>
      <c r="Q132">
        <f t="shared" si="44"/>
        <v>0</v>
      </c>
      <c r="R132">
        <f t="shared" si="45"/>
        <v>0</v>
      </c>
      <c r="S132">
        <f t="shared" si="54"/>
        <v>0</v>
      </c>
      <c r="T132">
        <f t="shared" si="55"/>
        <v>0</v>
      </c>
      <c r="X132">
        <f t="shared" si="56"/>
        <v>-9.3258734068513149E-15</v>
      </c>
      <c r="Y132" t="e">
        <f t="shared" si="57"/>
        <v>#NUM!</v>
      </c>
      <c r="Z132">
        <f t="shared" si="58"/>
        <v>-4.1173731091248555E-12</v>
      </c>
      <c r="AA132" t="e">
        <f t="shared" si="59"/>
        <v>#NUM!</v>
      </c>
    </row>
    <row r="133" spans="2:27" x14ac:dyDescent="0.3">
      <c r="B133">
        <f t="shared" si="46"/>
        <v>441.75</v>
      </c>
      <c r="C133">
        <f t="shared" si="42"/>
        <v>0</v>
      </c>
      <c r="D133">
        <f t="shared" si="43"/>
        <v>0</v>
      </c>
      <c r="E133">
        <f t="shared" si="48"/>
        <v>0</v>
      </c>
      <c r="F133">
        <f t="shared" si="49"/>
        <v>0</v>
      </c>
      <c r="J133">
        <f t="shared" si="50"/>
        <v>2.2870594307278225E-14</v>
      </c>
      <c r="K133" t="e">
        <f t="shared" si="51"/>
        <v>#NUM!</v>
      </c>
      <c r="L133">
        <f t="shared" si="52"/>
        <v>1.0103085035240156E-11</v>
      </c>
      <c r="M133" t="e">
        <f t="shared" si="53"/>
        <v>#NUM!</v>
      </c>
      <c r="P133">
        <f t="shared" si="47"/>
        <v>441.75</v>
      </c>
      <c r="Q133">
        <f t="shared" si="44"/>
        <v>0</v>
      </c>
      <c r="R133">
        <f t="shared" si="45"/>
        <v>0</v>
      </c>
      <c r="S133">
        <f t="shared" si="54"/>
        <v>0</v>
      </c>
      <c r="T133">
        <f t="shared" si="55"/>
        <v>0</v>
      </c>
      <c r="X133">
        <f t="shared" si="56"/>
        <v>2.2870594307278225E-14</v>
      </c>
      <c r="Y133" t="e">
        <f t="shared" si="57"/>
        <v>#NUM!</v>
      </c>
      <c r="Z133">
        <f t="shared" si="58"/>
        <v>1.0103085035240156E-11</v>
      </c>
      <c r="AA133" t="e">
        <f t="shared" si="59"/>
        <v>#NUM!</v>
      </c>
    </row>
    <row r="134" spans="2:27" x14ac:dyDescent="0.3">
      <c r="B134">
        <f t="shared" si="46"/>
        <v>442</v>
      </c>
      <c r="C134">
        <f t="shared" si="42"/>
        <v>0</v>
      </c>
      <c r="D134">
        <f t="shared" si="43"/>
        <v>0</v>
      </c>
      <c r="E134">
        <f t="shared" si="48"/>
        <v>0</v>
      </c>
      <c r="F134">
        <f t="shared" si="49"/>
        <v>0</v>
      </c>
      <c r="J134">
        <f t="shared" si="50"/>
        <v>-3.1530333899354446E-14</v>
      </c>
      <c r="K134" t="e">
        <f t="shared" si="51"/>
        <v>#NUM!</v>
      </c>
      <c r="L134">
        <f t="shared" si="52"/>
        <v>-1.3936407583514665E-11</v>
      </c>
      <c r="M134" t="e">
        <f t="shared" si="53"/>
        <v>#NUM!</v>
      </c>
      <c r="P134">
        <f t="shared" si="47"/>
        <v>442</v>
      </c>
      <c r="Q134">
        <f t="shared" si="44"/>
        <v>0</v>
      </c>
      <c r="R134">
        <f t="shared" si="45"/>
        <v>0</v>
      </c>
      <c r="S134">
        <f t="shared" si="54"/>
        <v>0</v>
      </c>
      <c r="T134">
        <f t="shared" si="55"/>
        <v>0</v>
      </c>
      <c r="X134">
        <f t="shared" si="56"/>
        <v>-3.1530333899354446E-14</v>
      </c>
      <c r="Y134" t="e">
        <f t="shared" si="57"/>
        <v>#NUM!</v>
      </c>
      <c r="Z134">
        <f t="shared" si="58"/>
        <v>-1.3936407583514665E-11</v>
      </c>
      <c r="AA134" t="e">
        <f t="shared" si="59"/>
        <v>#NUM!</v>
      </c>
    </row>
    <row r="135" spans="2:27" x14ac:dyDescent="0.3">
      <c r="B135">
        <f t="shared" si="46"/>
        <v>442.25</v>
      </c>
      <c r="C135">
        <f t="shared" si="42"/>
        <v>0</v>
      </c>
      <c r="D135">
        <f t="shared" si="43"/>
        <v>0</v>
      </c>
      <c r="E135">
        <f t="shared" si="48"/>
        <v>0</v>
      </c>
      <c r="F135">
        <f t="shared" si="49"/>
        <v>0</v>
      </c>
      <c r="J135">
        <f t="shared" si="50"/>
        <v>-1.2656542480726785E-14</v>
      </c>
      <c r="K135" t="e">
        <f t="shared" si="51"/>
        <v>#NUM!</v>
      </c>
      <c r="L135">
        <f t="shared" si="52"/>
        <v>-5.5973559121014205E-12</v>
      </c>
      <c r="M135" t="e">
        <f t="shared" si="53"/>
        <v>#NUM!</v>
      </c>
      <c r="P135">
        <f t="shared" si="47"/>
        <v>442.25</v>
      </c>
      <c r="Q135">
        <f t="shared" si="44"/>
        <v>0</v>
      </c>
      <c r="R135">
        <f t="shared" si="45"/>
        <v>0</v>
      </c>
      <c r="S135">
        <f t="shared" si="54"/>
        <v>0</v>
      </c>
      <c r="T135">
        <f t="shared" si="55"/>
        <v>0</v>
      </c>
      <c r="X135">
        <f t="shared" si="56"/>
        <v>-1.2656542480726785E-14</v>
      </c>
      <c r="Y135" t="e">
        <f t="shared" si="57"/>
        <v>#NUM!</v>
      </c>
      <c r="Z135">
        <f t="shared" si="58"/>
        <v>-5.5973559121014205E-12</v>
      </c>
      <c r="AA135" t="e">
        <f t="shared" si="59"/>
        <v>#NUM!</v>
      </c>
    </row>
    <row r="136" spans="2:27" x14ac:dyDescent="0.3">
      <c r="B136">
        <f t="shared" si="46"/>
        <v>442.5</v>
      </c>
      <c r="C136">
        <f t="shared" si="42"/>
        <v>0</v>
      </c>
      <c r="D136">
        <f t="shared" si="43"/>
        <v>0</v>
      </c>
      <c r="E136">
        <f t="shared" si="48"/>
        <v>0</v>
      </c>
      <c r="F136">
        <f t="shared" si="49"/>
        <v>0</v>
      </c>
      <c r="J136">
        <f t="shared" si="50"/>
        <v>0</v>
      </c>
      <c r="K136" t="e">
        <f t="shared" si="51"/>
        <v>#NUM!</v>
      </c>
      <c r="L136">
        <f t="shared" si="52"/>
        <v>0</v>
      </c>
      <c r="M136" t="e">
        <f t="shared" si="53"/>
        <v>#NUM!</v>
      </c>
      <c r="P136">
        <f t="shared" si="47"/>
        <v>442.5</v>
      </c>
      <c r="Q136">
        <f t="shared" si="44"/>
        <v>0</v>
      </c>
      <c r="R136">
        <f t="shared" si="45"/>
        <v>0</v>
      </c>
      <c r="S136">
        <f t="shared" si="54"/>
        <v>0</v>
      </c>
      <c r="T136">
        <f t="shared" si="55"/>
        <v>0</v>
      </c>
      <c r="X136">
        <f t="shared" si="56"/>
        <v>0</v>
      </c>
      <c r="Y136" t="e">
        <f t="shared" si="57"/>
        <v>#NUM!</v>
      </c>
      <c r="Z136">
        <f t="shared" si="58"/>
        <v>0</v>
      </c>
      <c r="AA136" t="e">
        <f t="shared" si="59"/>
        <v>#NUM!</v>
      </c>
    </row>
    <row r="137" spans="2:27" x14ac:dyDescent="0.3">
      <c r="B137">
        <f t="shared" si="46"/>
        <v>442.75</v>
      </c>
      <c r="C137">
        <f t="shared" si="42"/>
        <v>0</v>
      </c>
      <c r="D137">
        <f t="shared" si="43"/>
        <v>0</v>
      </c>
      <c r="E137">
        <f t="shared" si="48"/>
        <v>0</v>
      </c>
      <c r="F137">
        <f t="shared" si="49"/>
        <v>0</v>
      </c>
      <c r="J137">
        <f t="shared" si="50"/>
        <v>-1.9317880628477724E-14</v>
      </c>
      <c r="K137" t="e">
        <f t="shared" si="51"/>
        <v>#NUM!</v>
      </c>
      <c r="L137">
        <f t="shared" si="52"/>
        <v>-8.5529916482585122E-12</v>
      </c>
      <c r="M137" t="e">
        <f t="shared" si="53"/>
        <v>#NUM!</v>
      </c>
      <c r="P137">
        <f t="shared" si="47"/>
        <v>442.75</v>
      </c>
      <c r="Q137">
        <f t="shared" si="44"/>
        <v>0</v>
      </c>
      <c r="R137">
        <f t="shared" si="45"/>
        <v>0</v>
      </c>
      <c r="S137">
        <f t="shared" si="54"/>
        <v>0</v>
      </c>
      <c r="T137">
        <f t="shared" si="55"/>
        <v>0</v>
      </c>
      <c r="X137">
        <f t="shared" si="56"/>
        <v>-1.9317880628477724E-14</v>
      </c>
      <c r="Y137" t="e">
        <f t="shared" si="57"/>
        <v>#NUM!</v>
      </c>
      <c r="Z137">
        <f t="shared" si="58"/>
        <v>-8.5529916482585122E-12</v>
      </c>
      <c r="AA137" t="e">
        <f t="shared" si="59"/>
        <v>#NUM!</v>
      </c>
    </row>
    <row r="138" spans="2:27" x14ac:dyDescent="0.3">
      <c r="B138">
        <f t="shared" si="46"/>
        <v>443</v>
      </c>
      <c r="C138">
        <f t="shared" si="42"/>
        <v>0</v>
      </c>
      <c r="D138">
        <f t="shared" si="43"/>
        <v>0</v>
      </c>
      <c r="E138">
        <f t="shared" si="48"/>
        <v>0</v>
      </c>
      <c r="F138">
        <f t="shared" si="49"/>
        <v>0</v>
      </c>
      <c r="J138">
        <f t="shared" si="50"/>
        <v>0</v>
      </c>
      <c r="K138" t="e">
        <f t="shared" si="51"/>
        <v>#NUM!</v>
      </c>
      <c r="L138">
        <f t="shared" si="52"/>
        <v>0</v>
      </c>
      <c r="M138" t="e">
        <f t="shared" si="53"/>
        <v>#NUM!</v>
      </c>
      <c r="P138">
        <f t="shared" si="47"/>
        <v>443</v>
      </c>
      <c r="Q138">
        <f t="shared" si="44"/>
        <v>0</v>
      </c>
      <c r="R138">
        <f t="shared" si="45"/>
        <v>0</v>
      </c>
      <c r="S138">
        <f t="shared" si="54"/>
        <v>0</v>
      </c>
      <c r="T138">
        <f t="shared" si="55"/>
        <v>0</v>
      </c>
      <c r="X138">
        <f t="shared" si="56"/>
        <v>0</v>
      </c>
      <c r="Y138" t="e">
        <f t="shared" si="57"/>
        <v>#NUM!</v>
      </c>
      <c r="Z138">
        <f t="shared" si="58"/>
        <v>0</v>
      </c>
      <c r="AA138" t="e">
        <f t="shared" si="59"/>
        <v>#NUM!</v>
      </c>
    </row>
    <row r="139" spans="2:27" x14ac:dyDescent="0.3">
      <c r="B139">
        <f t="shared" si="46"/>
        <v>443.25</v>
      </c>
      <c r="C139">
        <f t="shared" si="42"/>
        <v>0</v>
      </c>
      <c r="D139">
        <f t="shared" si="43"/>
        <v>0</v>
      </c>
      <c r="E139">
        <f t="shared" si="48"/>
        <v>0</v>
      </c>
      <c r="F139">
        <f t="shared" si="49"/>
        <v>0</v>
      </c>
      <c r="J139">
        <f t="shared" si="50"/>
        <v>1.7319479184152442E-14</v>
      </c>
      <c r="K139" t="e">
        <f t="shared" si="51"/>
        <v>#NUM!</v>
      </c>
      <c r="L139">
        <f t="shared" si="52"/>
        <v>7.6768591483755699E-12</v>
      </c>
      <c r="M139" t="e">
        <f t="shared" si="53"/>
        <v>#NUM!</v>
      </c>
      <c r="P139">
        <f t="shared" si="47"/>
        <v>443.25</v>
      </c>
      <c r="Q139">
        <f t="shared" si="44"/>
        <v>0</v>
      </c>
      <c r="R139">
        <f t="shared" si="45"/>
        <v>0</v>
      </c>
      <c r="S139">
        <f t="shared" si="54"/>
        <v>0</v>
      </c>
      <c r="T139">
        <f t="shared" si="55"/>
        <v>0</v>
      </c>
      <c r="X139">
        <f t="shared" si="56"/>
        <v>1.7319479184152442E-14</v>
      </c>
      <c r="Y139" t="e">
        <f t="shared" si="57"/>
        <v>#NUM!</v>
      </c>
      <c r="Z139">
        <f t="shared" si="58"/>
        <v>7.6768591483755699E-12</v>
      </c>
      <c r="AA139" t="e">
        <f t="shared" si="59"/>
        <v>#NUM!</v>
      </c>
    </row>
    <row r="140" spans="2:27" x14ac:dyDescent="0.3">
      <c r="B140">
        <f t="shared" si="46"/>
        <v>443.5</v>
      </c>
      <c r="C140">
        <f t="shared" si="42"/>
        <v>0</v>
      </c>
      <c r="D140">
        <f t="shared" si="43"/>
        <v>0</v>
      </c>
      <c r="E140">
        <f t="shared" si="48"/>
        <v>0</v>
      </c>
      <c r="F140">
        <f t="shared" si="49"/>
        <v>0</v>
      </c>
      <c r="J140">
        <f t="shared" si="50"/>
        <v>-1.8429702208777599E-14</v>
      </c>
      <c r="K140" t="e">
        <f t="shared" si="51"/>
        <v>#NUM!</v>
      </c>
      <c r="L140">
        <f t="shared" si="52"/>
        <v>-8.173572929592865E-12</v>
      </c>
      <c r="M140" t="e">
        <f t="shared" si="53"/>
        <v>#NUM!</v>
      </c>
      <c r="P140">
        <f t="shared" si="47"/>
        <v>443.5</v>
      </c>
      <c r="Q140">
        <f t="shared" si="44"/>
        <v>0</v>
      </c>
      <c r="R140">
        <f t="shared" si="45"/>
        <v>0</v>
      </c>
      <c r="S140">
        <f t="shared" si="54"/>
        <v>0</v>
      </c>
      <c r="T140">
        <f t="shared" si="55"/>
        <v>0</v>
      </c>
      <c r="X140">
        <f t="shared" si="56"/>
        <v>-1.8429702208777599E-14</v>
      </c>
      <c r="Y140" t="e">
        <f t="shared" si="57"/>
        <v>#NUM!</v>
      </c>
      <c r="Z140">
        <f t="shared" si="58"/>
        <v>-8.173572929592865E-12</v>
      </c>
      <c r="AA140" t="e">
        <f t="shared" si="59"/>
        <v>#NUM!</v>
      </c>
    </row>
    <row r="141" spans="2:27" x14ac:dyDescent="0.3">
      <c r="B141">
        <f t="shared" si="46"/>
        <v>443.75</v>
      </c>
      <c r="C141">
        <f t="shared" si="42"/>
        <v>0</v>
      </c>
      <c r="D141">
        <f t="shared" si="43"/>
        <v>0</v>
      </c>
      <c r="E141">
        <f t="shared" si="48"/>
        <v>0</v>
      </c>
      <c r="F141">
        <f t="shared" si="49"/>
        <v>0</v>
      </c>
      <c r="J141">
        <f t="shared" si="50"/>
        <v>1.4210854715202004E-14</v>
      </c>
      <c r="K141" t="e">
        <f t="shared" si="51"/>
        <v>#NUM!</v>
      </c>
      <c r="L141">
        <f t="shared" si="52"/>
        <v>6.3060667798708891E-12</v>
      </c>
      <c r="M141" t="e">
        <f t="shared" si="53"/>
        <v>#NUM!</v>
      </c>
      <c r="P141">
        <f t="shared" si="47"/>
        <v>443.75</v>
      </c>
      <c r="Q141">
        <f t="shared" si="44"/>
        <v>0</v>
      </c>
      <c r="R141">
        <f t="shared" si="45"/>
        <v>0</v>
      </c>
      <c r="S141">
        <f t="shared" si="54"/>
        <v>0</v>
      </c>
      <c r="T141">
        <f t="shared" si="55"/>
        <v>0</v>
      </c>
      <c r="X141">
        <f t="shared" si="56"/>
        <v>1.4210854715202004E-14</v>
      </c>
      <c r="Y141" t="e">
        <f t="shared" si="57"/>
        <v>#NUM!</v>
      </c>
      <c r="Z141">
        <f t="shared" si="58"/>
        <v>6.3060667798708891E-12</v>
      </c>
      <c r="AA141" t="e">
        <f t="shared" si="59"/>
        <v>#NUM!</v>
      </c>
    </row>
    <row r="142" spans="2:27" x14ac:dyDescent="0.3">
      <c r="B142">
        <f t="shared" si="46"/>
        <v>444</v>
      </c>
      <c r="C142">
        <f t="shared" si="42"/>
        <v>0</v>
      </c>
      <c r="D142">
        <f t="shared" si="43"/>
        <v>0</v>
      </c>
      <c r="E142">
        <f t="shared" si="48"/>
        <v>0</v>
      </c>
      <c r="F142">
        <f t="shared" si="49"/>
        <v>0</v>
      </c>
      <c r="J142">
        <f t="shared" si="50"/>
        <v>8.2156503822261584E-15</v>
      </c>
      <c r="K142" t="e">
        <f t="shared" si="51"/>
        <v>#NUM!</v>
      </c>
      <c r="L142">
        <f t="shared" si="52"/>
        <v>3.6477487697084143E-12</v>
      </c>
      <c r="M142" t="e">
        <f t="shared" si="53"/>
        <v>#NUM!</v>
      </c>
      <c r="P142">
        <f t="shared" si="47"/>
        <v>444</v>
      </c>
      <c r="Q142">
        <f t="shared" si="44"/>
        <v>0</v>
      </c>
      <c r="R142">
        <f t="shared" si="45"/>
        <v>0</v>
      </c>
      <c r="S142">
        <f t="shared" si="54"/>
        <v>0</v>
      </c>
      <c r="T142">
        <f t="shared" si="55"/>
        <v>0</v>
      </c>
      <c r="X142">
        <f t="shared" si="56"/>
        <v>8.2156503822261584E-15</v>
      </c>
      <c r="Y142" t="e">
        <f t="shared" si="57"/>
        <v>#NUM!</v>
      </c>
      <c r="Z142">
        <f t="shared" si="58"/>
        <v>3.6477487697084143E-12</v>
      </c>
      <c r="AA142" t="e">
        <f t="shared" si="59"/>
        <v>#NUM!</v>
      </c>
    </row>
    <row r="143" spans="2:27" x14ac:dyDescent="0.3">
      <c r="B143">
        <f t="shared" si="46"/>
        <v>444.25</v>
      </c>
      <c r="C143">
        <f t="shared" si="42"/>
        <v>0</v>
      </c>
      <c r="D143">
        <f t="shared" si="43"/>
        <v>0</v>
      </c>
      <c r="E143">
        <f t="shared" si="48"/>
        <v>0</v>
      </c>
      <c r="F143">
        <f t="shared" si="49"/>
        <v>0</v>
      </c>
      <c r="J143">
        <f t="shared" si="50"/>
        <v>0</v>
      </c>
      <c r="K143" t="e">
        <f t="shared" si="51"/>
        <v>#NUM!</v>
      </c>
      <c r="L143">
        <f t="shared" si="52"/>
        <v>0</v>
      </c>
      <c r="M143" t="e">
        <f t="shared" si="53"/>
        <v>#NUM!</v>
      </c>
      <c r="P143">
        <f t="shared" si="47"/>
        <v>444.25</v>
      </c>
      <c r="Q143">
        <f t="shared" si="44"/>
        <v>0</v>
      </c>
      <c r="R143">
        <f t="shared" si="45"/>
        <v>0</v>
      </c>
      <c r="S143">
        <f t="shared" si="54"/>
        <v>0</v>
      </c>
      <c r="T143">
        <f t="shared" si="55"/>
        <v>0</v>
      </c>
      <c r="X143">
        <f t="shared" si="56"/>
        <v>0</v>
      </c>
      <c r="Y143" t="e">
        <f t="shared" si="57"/>
        <v>#NUM!</v>
      </c>
      <c r="Z143">
        <f t="shared" si="58"/>
        <v>0</v>
      </c>
      <c r="AA143" t="e">
        <f t="shared" si="59"/>
        <v>#NUM!</v>
      </c>
    </row>
    <row r="144" spans="2:27" x14ac:dyDescent="0.3">
      <c r="B144">
        <f t="shared" si="46"/>
        <v>444.5</v>
      </c>
      <c r="C144">
        <f t="shared" si="42"/>
        <v>0</v>
      </c>
      <c r="D144">
        <f t="shared" si="43"/>
        <v>0</v>
      </c>
      <c r="E144">
        <f t="shared" si="48"/>
        <v>0</v>
      </c>
      <c r="F144">
        <f t="shared" si="49"/>
        <v>0</v>
      </c>
      <c r="J144">
        <f t="shared" si="50"/>
        <v>4.2188474935755949E-15</v>
      </c>
      <c r="K144" t="e">
        <f t="shared" si="51"/>
        <v>#NUM!</v>
      </c>
      <c r="L144">
        <f t="shared" si="52"/>
        <v>1.8752777108943519E-12</v>
      </c>
      <c r="M144" t="e">
        <f t="shared" si="53"/>
        <v>#NUM!</v>
      </c>
      <c r="P144">
        <f t="shared" si="47"/>
        <v>444.5</v>
      </c>
      <c r="Q144">
        <f t="shared" si="44"/>
        <v>0</v>
      </c>
      <c r="R144">
        <f t="shared" si="45"/>
        <v>0</v>
      </c>
      <c r="S144">
        <f t="shared" si="54"/>
        <v>0</v>
      </c>
      <c r="T144">
        <f t="shared" si="55"/>
        <v>0</v>
      </c>
      <c r="X144">
        <f t="shared" si="56"/>
        <v>4.2188474935755949E-15</v>
      </c>
      <c r="Y144" t="e">
        <f t="shared" si="57"/>
        <v>#NUM!</v>
      </c>
      <c r="Z144">
        <f t="shared" si="58"/>
        <v>1.8752777108943519E-12</v>
      </c>
      <c r="AA144" t="e">
        <f t="shared" si="59"/>
        <v>#NUM!</v>
      </c>
    </row>
    <row r="145" spans="2:27" x14ac:dyDescent="0.3">
      <c r="B145">
        <f t="shared" si="46"/>
        <v>444.75</v>
      </c>
      <c r="C145">
        <f t="shared" si="42"/>
        <v>0</v>
      </c>
      <c r="D145">
        <f t="shared" si="43"/>
        <v>0</v>
      </c>
      <c r="E145">
        <f t="shared" si="48"/>
        <v>0</v>
      </c>
      <c r="F145">
        <f t="shared" si="49"/>
        <v>0</v>
      </c>
      <c r="J145">
        <f t="shared" si="50"/>
        <v>-4.6629367034256575E-15</v>
      </c>
      <c r="K145" t="e">
        <f t="shared" si="51"/>
        <v>#NUM!</v>
      </c>
      <c r="L145">
        <f t="shared" si="52"/>
        <v>-2.0738410988485612E-12</v>
      </c>
      <c r="M145" t="e">
        <f t="shared" si="53"/>
        <v>#NUM!</v>
      </c>
      <c r="P145">
        <f t="shared" si="47"/>
        <v>444.75</v>
      </c>
      <c r="Q145">
        <f t="shared" si="44"/>
        <v>0</v>
      </c>
      <c r="R145">
        <f t="shared" si="45"/>
        <v>0</v>
      </c>
      <c r="S145">
        <f t="shared" si="54"/>
        <v>0</v>
      </c>
      <c r="T145">
        <f t="shared" si="55"/>
        <v>0</v>
      </c>
      <c r="X145">
        <f t="shared" si="56"/>
        <v>-4.6629367034256575E-15</v>
      </c>
      <c r="Y145" t="e">
        <f t="shared" si="57"/>
        <v>#NUM!</v>
      </c>
      <c r="Z145">
        <f t="shared" si="58"/>
        <v>-2.0738410988485612E-12</v>
      </c>
      <c r="AA145" t="e">
        <f t="shared" si="59"/>
        <v>#NUM!</v>
      </c>
    </row>
    <row r="146" spans="2:27" x14ac:dyDescent="0.3">
      <c r="B146">
        <f t="shared" si="46"/>
        <v>445</v>
      </c>
      <c r="C146">
        <f t="shared" si="42"/>
        <v>0</v>
      </c>
      <c r="D146">
        <f t="shared" si="43"/>
        <v>0</v>
      </c>
      <c r="E146">
        <f t="shared" si="48"/>
        <v>0</v>
      </c>
      <c r="F146">
        <f t="shared" si="49"/>
        <v>0</v>
      </c>
      <c r="J146">
        <f t="shared" si="50"/>
        <v>-6.8833827526759706E-15</v>
      </c>
      <c r="K146" t="e">
        <f t="shared" si="51"/>
        <v>#NUM!</v>
      </c>
      <c r="L146">
        <f t="shared" si="52"/>
        <v>-3.0631053249408069E-12</v>
      </c>
      <c r="M146" t="e">
        <f t="shared" si="53"/>
        <v>#NUM!</v>
      </c>
      <c r="P146">
        <f t="shared" si="47"/>
        <v>445</v>
      </c>
      <c r="Q146">
        <f t="shared" si="44"/>
        <v>0</v>
      </c>
      <c r="R146">
        <f t="shared" si="45"/>
        <v>0</v>
      </c>
      <c r="S146">
        <f t="shared" si="54"/>
        <v>0</v>
      </c>
      <c r="T146">
        <f t="shared" si="55"/>
        <v>0</v>
      </c>
      <c r="X146">
        <f t="shared" si="56"/>
        <v>-6.8833827526759706E-15</v>
      </c>
      <c r="Y146" t="e">
        <f t="shared" si="57"/>
        <v>#NUM!</v>
      </c>
      <c r="Z146">
        <f t="shared" si="58"/>
        <v>-3.0631053249408069E-12</v>
      </c>
      <c r="AA146" t="e">
        <f t="shared" si="59"/>
        <v>#NUM!</v>
      </c>
    </row>
  </sheetData>
  <mergeCells count="1">
    <mergeCell ref="J7:N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P33"/>
  <sheetViews>
    <sheetView zoomScale="70" zoomScaleNormal="70" workbookViewId="0">
      <selection activeCell="U21" sqref="U21"/>
    </sheetView>
  </sheetViews>
  <sheetFormatPr defaultRowHeight="16.5" x14ac:dyDescent="0.3"/>
  <cols>
    <col min="3" max="8" width="11.875" customWidth="1"/>
    <col min="9" max="9" width="9.875" bestFit="1" customWidth="1"/>
    <col min="10" max="10" width="10.625" bestFit="1" customWidth="1"/>
    <col min="11" max="11" width="11" bestFit="1" customWidth="1"/>
    <col min="12" max="12" width="12.125" bestFit="1" customWidth="1"/>
    <col min="13" max="13" width="15.375" bestFit="1" customWidth="1"/>
    <col min="14" max="15" width="12.125" bestFit="1" customWidth="1"/>
    <col min="16" max="16" width="11.75" bestFit="1" customWidth="1"/>
  </cols>
  <sheetData>
    <row r="3" spans="1:16" x14ac:dyDescent="0.3">
      <c r="B3" s="2" t="s">
        <v>10</v>
      </c>
    </row>
    <row r="4" spans="1:16" x14ac:dyDescent="0.3">
      <c r="B4" t="s">
        <v>13</v>
      </c>
      <c r="C4" t="s">
        <v>14</v>
      </c>
      <c r="D4" t="s">
        <v>15</v>
      </c>
      <c r="E4" t="s">
        <v>16</v>
      </c>
      <c r="F4" t="s">
        <v>62</v>
      </c>
    </row>
    <row r="5" spans="1:16" x14ac:dyDescent="0.3">
      <c r="B5">
        <v>430</v>
      </c>
      <c r="C5">
        <v>1.2E-2</v>
      </c>
      <c r="D5">
        <v>0</v>
      </c>
      <c r="E5">
        <v>0.20945</v>
      </c>
      <c r="F5">
        <v>0.5</v>
      </c>
    </row>
    <row r="7" spans="1:16" x14ac:dyDescent="0.3">
      <c r="B7" s="30" t="s">
        <v>66</v>
      </c>
    </row>
    <row r="8" spans="1:16" x14ac:dyDescent="0.3">
      <c r="B8" s="2" t="s">
        <v>64</v>
      </c>
      <c r="D8" s="59" t="s">
        <v>60</v>
      </c>
      <c r="E8" s="59"/>
      <c r="F8" s="59"/>
      <c r="G8" s="59"/>
      <c r="H8" s="59"/>
      <c r="J8" s="2" t="s">
        <v>63</v>
      </c>
      <c r="L8" s="59" t="s">
        <v>60</v>
      </c>
      <c r="M8" s="59"/>
      <c r="N8" s="59"/>
      <c r="O8" s="59"/>
      <c r="P8" s="59"/>
    </row>
    <row r="9" spans="1:16" x14ac:dyDescent="0.3">
      <c r="B9" s="25">
        <v>2.5000000000000001E-2</v>
      </c>
      <c r="C9" s="5" t="s">
        <v>33</v>
      </c>
      <c r="D9" s="5" t="s">
        <v>34</v>
      </c>
      <c r="E9" s="5" t="s">
        <v>35</v>
      </c>
      <c r="F9" s="5" t="s">
        <v>57</v>
      </c>
      <c r="G9" s="5" t="s">
        <v>58</v>
      </c>
      <c r="H9" s="5" t="s">
        <v>59</v>
      </c>
      <c r="I9" s="5"/>
      <c r="J9" s="24">
        <v>0.01</v>
      </c>
      <c r="K9" s="5" t="s">
        <v>36</v>
      </c>
      <c r="L9" s="5" t="s">
        <v>37</v>
      </c>
      <c r="M9" s="5" t="s">
        <v>35</v>
      </c>
      <c r="N9" s="5" t="s">
        <v>38</v>
      </c>
      <c r="O9" s="5" t="s">
        <v>58</v>
      </c>
      <c r="P9" s="5" t="s">
        <v>59</v>
      </c>
    </row>
    <row r="10" spans="1:16" x14ac:dyDescent="0.3">
      <c r="A10" s="26"/>
      <c r="B10" s="27">
        <f>B14*0.9</f>
        <v>387</v>
      </c>
      <c r="C10" s="27">
        <f t="shared" ref="C10:C18" si="0">getPrice("MC", "Vanilla", "Call",B10,$B$5,$C$5,$D$5,$E$5,$F$5)</f>
        <v>9.4379393347575498</v>
      </c>
      <c r="D10" s="28">
        <f t="shared" ref="D10:D18" si="1">getDelta("MC","Vanilla","Call",B10,$B$5,$C$5,$D$5,$E$5,$F$5)*B10</f>
        <v>108.58398049008341</v>
      </c>
      <c r="E10" s="28">
        <f t="shared" ref="E10:E18" si="2">getGamma("MC", "Vanilla", "Put", B10,$B$5,$C$5,$D$5,$E$5,$F$5)*B10^2/0.01</f>
        <v>87406.121312710631</v>
      </c>
      <c r="F10" s="27">
        <f t="shared" ref="F10:F18" si="3">getVega("MC", "Vanilla", "Call", B10,$B$5,$C$5,$D$5,$E$5,$F$5)</f>
        <v>94.309264014955744</v>
      </c>
      <c r="G10" s="4">
        <f t="shared" ref="G10:G18" si="4">getRho("MC", "Vanilla", "Call", B10,$B$5,$C$5,$D$5,$E$5,$F$5)</f>
        <v>49.542551273225044</v>
      </c>
      <c r="H10" s="4">
        <f t="shared" ref="H10:H18" si="5">getTheta("MC", "Vanilla", "Call",B10,$B$5,$C$5,$D$5,$E$5,$F$5)</f>
        <v>-20.961668937964362</v>
      </c>
      <c r="J10">
        <f>J11-0.01</f>
        <v>0.16939999999999997</v>
      </c>
      <c r="K10" s="4">
        <f t="shared" ref="K10:K18" si="6">getPrice("MC", "Vanilla", "Call",$B$14,$B$5,$C$5,$D$5,J10,$F$5)</f>
        <v>22.159249560596926</v>
      </c>
      <c r="L10" s="23">
        <f>getDelta("MC","Vanilla","Call",$B$14,$B$5,$C$5,$D$5,J10,$F$5)*$B$14</f>
        <v>234.05142319748578</v>
      </c>
      <c r="M10" s="23">
        <f>getGamma("MC", "Vanilla", "Put", $B$14,$B$5,$C$5,$D$5,J10,$F$5)*$B$14^2/0.01</f>
        <v>157294.54510631057</v>
      </c>
      <c r="N10" s="4">
        <f t="shared" ref="N10:N18" si="7">getVega("MC", "Vanilla", "Call", $B$14,$B$5,$C$5,$D$5,J10,$F$5)</f>
        <v>123.1669541601283</v>
      </c>
      <c r="O10" s="4">
        <f t="shared" ref="O10:O18" si="8">getRho("MC", "Vanilla", "Call", $B$14,$B$5,$C$5,$D$5,J10,F$5)</f>
        <v>105.81339484739161</v>
      </c>
      <c r="P10" s="4">
        <f t="shared" ref="P10:P18" si="9">getTheta("MC", "Vanilla", "Call",$B$14,$B$5,$C$5,$D$5,J10,$F$5)</f>
        <v>-23.405483875684752</v>
      </c>
    </row>
    <row r="11" spans="1:16" x14ac:dyDescent="0.3">
      <c r="A11" s="26"/>
      <c r="B11" s="27">
        <f>B14*0.925</f>
        <v>397.75</v>
      </c>
      <c r="C11" s="27">
        <f t="shared" si="0"/>
        <v>12.79460997385174</v>
      </c>
      <c r="D11" s="28">
        <f t="shared" si="1"/>
        <v>136.88822883733448</v>
      </c>
      <c r="E11" s="28">
        <f t="shared" si="2"/>
        <v>95174.196581154989</v>
      </c>
      <c r="F11" s="27">
        <f t="shared" si="3"/>
        <v>106.01766272358368</v>
      </c>
      <c r="G11" s="4">
        <f t="shared" si="4"/>
        <v>62.07483591767371</v>
      </c>
      <c r="H11" s="4">
        <f t="shared" si="5"/>
        <v>-23.704806474373896</v>
      </c>
      <c r="J11">
        <f>J12-0.01</f>
        <v>0.17939999999999998</v>
      </c>
      <c r="K11" s="4">
        <f t="shared" si="6"/>
        <v>23.39123338126992</v>
      </c>
      <c r="L11" s="23">
        <f t="shared" ref="L11:L18" si="10">getDelta("MC","Vanilla","Call",$B$14,$B$5,$C$5,$D$5,J11,$F$5)*$B$14</f>
        <v>234.12674250458957</v>
      </c>
      <c r="M11" s="23">
        <f t="shared" ref="M11:M18" si="11">getGamma("MC", "Vanilla", "Put", $B$14,$B$5,$C$5,$D$5,J11,$F$5)*$B$14^2/0.01</f>
        <v>148199.6666235759</v>
      </c>
      <c r="N11" s="4">
        <f t="shared" si="7"/>
        <v>123.22830489815803</v>
      </c>
      <c r="O11" s="4">
        <f t="shared" si="8"/>
        <v>105.12810449229804</v>
      </c>
      <c r="P11" s="4">
        <f t="shared" si="9"/>
        <v>-24.631718104188849</v>
      </c>
    </row>
    <row r="12" spans="1:16" x14ac:dyDescent="0.3">
      <c r="A12" s="26"/>
      <c r="B12" s="27">
        <f>B14*0.95</f>
        <v>408.5</v>
      </c>
      <c r="C12" s="27">
        <f t="shared" si="0"/>
        <v>16.842604032455672</v>
      </c>
      <c r="D12" s="28">
        <f t="shared" si="1"/>
        <v>167.42749064289413</v>
      </c>
      <c r="E12" s="28">
        <f t="shared" si="2"/>
        <v>106738.87942814988</v>
      </c>
      <c r="F12" s="27">
        <f t="shared" si="3"/>
        <v>114.97892356173614</v>
      </c>
      <c r="G12" s="4">
        <f t="shared" si="4"/>
        <v>75.283881080405735</v>
      </c>
      <c r="H12" s="4">
        <f t="shared" si="5"/>
        <v>-25.891102828126122</v>
      </c>
      <c r="J12">
        <f>J13-0.01</f>
        <v>0.18939999999999999</v>
      </c>
      <c r="K12" s="4">
        <f t="shared" si="6"/>
        <v>24.623815658560087</v>
      </c>
      <c r="L12" s="23">
        <f t="shared" si="10"/>
        <v>234.24823924577058</v>
      </c>
      <c r="M12" s="23">
        <f t="shared" si="11"/>
        <v>139423.71290629296</v>
      </c>
      <c r="N12" s="4">
        <f t="shared" si="7"/>
        <v>123.27590199591238</v>
      </c>
      <c r="O12" s="4">
        <f t="shared" si="8"/>
        <v>104.52816463597969</v>
      </c>
      <c r="P12" s="4">
        <f t="shared" si="9"/>
        <v>-25.858983889719411</v>
      </c>
    </row>
    <row r="13" spans="1:16" x14ac:dyDescent="0.3">
      <c r="A13" s="26"/>
      <c r="B13" s="27">
        <f>B14*0.975</f>
        <v>419.25</v>
      </c>
      <c r="C13" s="27">
        <f t="shared" si="0"/>
        <v>21.610185607062444</v>
      </c>
      <c r="D13" s="28">
        <f t="shared" si="1"/>
        <v>199.6306066502637</v>
      </c>
      <c r="E13" s="28">
        <f t="shared" si="2"/>
        <v>105491.32321023082</v>
      </c>
      <c r="F13" s="27">
        <f t="shared" si="3"/>
        <v>120.84953987514008</v>
      </c>
      <c r="G13" s="4">
        <f t="shared" si="4"/>
        <v>88.867269688499562</v>
      </c>
      <c r="H13" s="4">
        <f t="shared" si="5"/>
        <v>-27.44615096275993</v>
      </c>
      <c r="J13">
        <f>J14-0.01</f>
        <v>0.19939999999999999</v>
      </c>
      <c r="K13" s="4">
        <f t="shared" si="6"/>
        <v>25.856751421188168</v>
      </c>
      <c r="L13" s="23">
        <f t="shared" si="10"/>
        <v>234.41281192510584</v>
      </c>
      <c r="M13" s="23">
        <f t="shared" si="11"/>
        <v>131322.38353421856</v>
      </c>
      <c r="N13" s="4">
        <f t="shared" si="7"/>
        <v>123.31030578211362</v>
      </c>
      <c r="O13" s="4">
        <f t="shared" si="8"/>
        <v>104.0478067682038</v>
      </c>
      <c r="P13" s="4">
        <f t="shared" si="9"/>
        <v>-27.08646027208772</v>
      </c>
    </row>
    <row r="14" spans="1:16" x14ac:dyDescent="0.3">
      <c r="A14" s="26" t="s">
        <v>61</v>
      </c>
      <c r="B14" s="27">
        <v>430</v>
      </c>
      <c r="C14" s="27">
        <f t="shared" si="0"/>
        <v>27.096188350431557</v>
      </c>
      <c r="D14" s="28">
        <f t="shared" si="1"/>
        <v>234.61818586995022</v>
      </c>
      <c r="E14" s="28">
        <f t="shared" si="2"/>
        <v>123813.80477978609</v>
      </c>
      <c r="F14" s="27">
        <f t="shared" si="3"/>
        <v>123.33608649357596</v>
      </c>
      <c r="G14" s="4">
        <f t="shared" si="4"/>
        <v>103.61772920125745</v>
      </c>
      <c r="H14" s="4">
        <f t="shared" si="5"/>
        <v>-28.320183077070737</v>
      </c>
      <c r="J14">
        <v>0.2094</v>
      </c>
      <c r="K14" s="4">
        <f t="shared" si="6"/>
        <v>27.090021774202359</v>
      </c>
      <c r="L14" s="23">
        <f t="shared" si="10"/>
        <v>234.61708532467063</v>
      </c>
      <c r="M14" s="23">
        <f t="shared" si="11"/>
        <v>123848.94409111525</v>
      </c>
      <c r="N14" s="4">
        <f t="shared" si="7"/>
        <v>123.33596752531743</v>
      </c>
      <c r="O14" s="4">
        <f t="shared" si="8"/>
        <v>103.61920464394103</v>
      </c>
      <c r="P14" s="4">
        <f t="shared" si="9"/>
        <v>-28.314065744297068</v>
      </c>
    </row>
    <row r="15" spans="1:16" x14ac:dyDescent="0.3">
      <c r="A15" s="26"/>
      <c r="B15" s="27">
        <f>B14*1.025</f>
        <v>440.74999999999994</v>
      </c>
      <c r="C15" s="27">
        <f t="shared" si="0"/>
        <v>33.339863904523604</v>
      </c>
      <c r="D15" s="28">
        <f t="shared" si="1"/>
        <v>270.76705149364386</v>
      </c>
      <c r="E15" s="28">
        <f t="shared" si="2"/>
        <v>119494.32139938662</v>
      </c>
      <c r="F15" s="27">
        <f t="shared" si="3"/>
        <v>122.19776425086728</v>
      </c>
      <c r="G15" s="4">
        <f t="shared" si="4"/>
        <v>118.73157302257908</v>
      </c>
      <c r="H15" s="4">
        <f t="shared" si="5"/>
        <v>-28.442310157075212</v>
      </c>
      <c r="J15">
        <f>J14+0.01</f>
        <v>0.21940000000000001</v>
      </c>
      <c r="K15" s="4">
        <f t="shared" si="6"/>
        <v>28.323470771694517</v>
      </c>
      <c r="L15" s="23">
        <f t="shared" si="10"/>
        <v>234.84429332221615</v>
      </c>
      <c r="M15" s="23">
        <f t="shared" si="11"/>
        <v>116913.97725307697</v>
      </c>
      <c r="N15" s="4">
        <f t="shared" si="7"/>
        <v>123.36306765675999</v>
      </c>
      <c r="O15" s="4">
        <f t="shared" si="8"/>
        <v>103.18043141049671</v>
      </c>
      <c r="P15" s="4">
        <f t="shared" si="9"/>
        <v>-29.542236211312911</v>
      </c>
    </row>
    <row r="16" spans="1:16" x14ac:dyDescent="0.3">
      <c r="A16" s="26"/>
      <c r="B16" s="27">
        <f>B14*1.05</f>
        <v>451.5</v>
      </c>
      <c r="C16" s="27">
        <f t="shared" si="0"/>
        <v>40.271290746658359</v>
      </c>
      <c r="D16" s="28">
        <f t="shared" si="1"/>
        <v>303.82332755888621</v>
      </c>
      <c r="E16" s="28">
        <f t="shared" si="2"/>
        <v>106484.20513284409</v>
      </c>
      <c r="F16" s="27">
        <f t="shared" si="3"/>
        <v>118.40854613337193</v>
      </c>
      <c r="G16" s="4">
        <f t="shared" si="4"/>
        <v>131.7948645849043</v>
      </c>
      <c r="H16" s="4">
        <f t="shared" si="5"/>
        <v>-27.969247678427678</v>
      </c>
      <c r="J16">
        <f>J15+0.01</f>
        <v>0.22940000000000002</v>
      </c>
      <c r="K16" s="4">
        <f t="shared" si="6"/>
        <v>29.557283127337559</v>
      </c>
      <c r="L16" s="23">
        <f t="shared" si="10"/>
        <v>235.09834438367159</v>
      </c>
      <c r="M16" s="23">
        <f t="shared" si="11"/>
        <v>110112.7363472827</v>
      </c>
      <c r="N16" s="4">
        <f t="shared" si="7"/>
        <v>123.39582898908432</v>
      </c>
      <c r="O16" s="4">
        <f t="shared" si="8"/>
        <v>102.64215367014273</v>
      </c>
      <c r="P16" s="4">
        <f t="shared" si="9"/>
        <v>-30.772228704982751</v>
      </c>
    </row>
    <row r="17" spans="1:16" x14ac:dyDescent="0.3">
      <c r="A17" s="26"/>
      <c r="B17" s="27">
        <f>B14*1.075</f>
        <v>462.25</v>
      </c>
      <c r="C17" s="27">
        <f t="shared" si="0"/>
        <v>47.802637589759726</v>
      </c>
      <c r="D17" s="28">
        <f t="shared" si="1"/>
        <v>335.9882763050187</v>
      </c>
      <c r="E17" s="28">
        <f t="shared" si="2"/>
        <v>98846.733027766459</v>
      </c>
      <c r="F17" s="27">
        <f t="shared" si="3"/>
        <v>111.95940051091995</v>
      </c>
      <c r="G17" s="4">
        <f t="shared" si="4"/>
        <v>144.1862770564839</v>
      </c>
      <c r="H17" s="4">
        <f t="shared" si="5"/>
        <v>-26.916071627738347</v>
      </c>
      <c r="J17">
        <f>J16+0.01</f>
        <v>0.23940000000000003</v>
      </c>
      <c r="K17" s="4">
        <f t="shared" si="6"/>
        <v>30.791387351476203</v>
      </c>
      <c r="L17" s="23">
        <f t="shared" si="10"/>
        <v>235.39096616702776</v>
      </c>
      <c r="M17" s="23">
        <f t="shared" si="11"/>
        <v>103904.06590048685</v>
      </c>
      <c r="N17" s="4">
        <f t="shared" si="7"/>
        <v>123.4184250685713</v>
      </c>
      <c r="O17" s="4">
        <f t="shared" si="8"/>
        <v>102.22734060869598</v>
      </c>
      <c r="P17" s="4">
        <f t="shared" si="9"/>
        <v>-32.00121278698731</v>
      </c>
    </row>
    <row r="18" spans="1:16" x14ac:dyDescent="0.3">
      <c r="A18" s="26"/>
      <c r="B18" s="27">
        <f>B14*1.1</f>
        <v>473.00000000000006</v>
      </c>
      <c r="C18" s="27">
        <f t="shared" si="0"/>
        <v>55.876085596532235</v>
      </c>
      <c r="D18" s="28">
        <f t="shared" si="1"/>
        <v>366.07025913635954</v>
      </c>
      <c r="E18" s="28">
        <f t="shared" si="2"/>
        <v>92192.672132025429</v>
      </c>
      <c r="F18" s="27">
        <f t="shared" si="3"/>
        <v>103.8772426549837</v>
      </c>
      <c r="G18" s="4">
        <f t="shared" si="4"/>
        <v>155.21348840330518</v>
      </c>
      <c r="H18" s="4">
        <f t="shared" si="5"/>
        <v>-25.478237914029478</v>
      </c>
      <c r="J18">
        <f>J17+0.01</f>
        <v>0.24940000000000004</v>
      </c>
      <c r="K18" s="4">
        <f t="shared" si="6"/>
        <v>32.025651628708985</v>
      </c>
      <c r="L18" s="23">
        <f t="shared" si="10"/>
        <v>235.72195686132693</v>
      </c>
      <c r="M18" s="23">
        <f t="shared" si="11"/>
        <v>98582.119573279677</v>
      </c>
      <c r="N18" s="4">
        <f t="shared" si="7"/>
        <v>123.44117941964896</v>
      </c>
      <c r="O18" s="4">
        <f t="shared" si="8"/>
        <v>101.81726939659796</v>
      </c>
      <c r="P18" s="4">
        <f t="shared" si="9"/>
        <v>-33.23048857168942</v>
      </c>
    </row>
    <row r="19" spans="1:16" x14ac:dyDescent="0.3">
      <c r="A19" s="26"/>
      <c r="B19" s="27"/>
      <c r="C19" s="27"/>
      <c r="D19" s="28"/>
      <c r="E19" s="28"/>
      <c r="F19" s="27"/>
      <c r="G19" s="4"/>
      <c r="H19" s="4"/>
      <c r="K19" s="4"/>
      <c r="L19" s="23"/>
      <c r="M19" s="23"/>
      <c r="N19" s="4"/>
      <c r="O19" s="4"/>
      <c r="P19" s="4"/>
    </row>
    <row r="20" spans="1:16" x14ac:dyDescent="0.3">
      <c r="A20" s="26"/>
      <c r="B20" s="27"/>
      <c r="C20" s="27"/>
      <c r="D20" s="28"/>
      <c r="E20" s="28"/>
      <c r="F20" s="27"/>
      <c r="G20" s="4"/>
      <c r="H20" s="4"/>
      <c r="K20" s="4"/>
      <c r="L20" s="23"/>
      <c r="M20" s="23"/>
      <c r="N20" s="4"/>
      <c r="O20" s="4"/>
      <c r="P20" s="4"/>
    </row>
    <row r="21" spans="1:16" x14ac:dyDescent="0.3">
      <c r="B21" s="30" t="s">
        <v>65</v>
      </c>
    </row>
    <row r="22" spans="1:16" x14ac:dyDescent="0.3">
      <c r="B22" s="2" t="s">
        <v>64</v>
      </c>
      <c r="D22" s="59" t="s">
        <v>60</v>
      </c>
      <c r="E22" s="59"/>
      <c r="F22" s="59"/>
      <c r="G22" s="59"/>
      <c r="H22" s="59"/>
      <c r="J22" s="2" t="s">
        <v>63</v>
      </c>
      <c r="L22" s="59" t="s">
        <v>60</v>
      </c>
      <c r="M22" s="59"/>
      <c r="N22" s="59"/>
      <c r="O22" s="59"/>
      <c r="P22" s="59"/>
    </row>
    <row r="23" spans="1:16" x14ac:dyDescent="0.3">
      <c r="B23" s="25">
        <v>2.5000000000000001E-2</v>
      </c>
      <c r="C23" s="5" t="s">
        <v>17</v>
      </c>
      <c r="D23" s="5" t="s">
        <v>23</v>
      </c>
      <c r="E23" s="5" t="s">
        <v>35</v>
      </c>
      <c r="F23" s="5" t="s">
        <v>57</v>
      </c>
      <c r="G23" s="5" t="s">
        <v>58</v>
      </c>
      <c r="H23" s="5" t="s">
        <v>59</v>
      </c>
      <c r="J23" s="24">
        <v>0.01</v>
      </c>
      <c r="K23" s="5" t="s">
        <v>17</v>
      </c>
      <c r="L23" s="5" t="s">
        <v>37</v>
      </c>
      <c r="M23" s="5" t="s">
        <v>35</v>
      </c>
      <c r="N23" s="5" t="s">
        <v>24</v>
      </c>
      <c r="O23" s="5" t="s">
        <v>58</v>
      </c>
      <c r="P23" s="5" t="s">
        <v>59</v>
      </c>
    </row>
    <row r="24" spans="1:16" x14ac:dyDescent="0.3">
      <c r="B24" s="27">
        <f>B28*0.9</f>
        <v>387</v>
      </c>
      <c r="C24" s="27">
        <f t="shared" ref="C24:C32" si="12">getPrice("MC", "Digital", "Call",B24,$B$5,$C$5,$D$5,$E$5,$F$5)</f>
        <v>0.23046306496591115</v>
      </c>
      <c r="D24" s="29">
        <f t="shared" ref="D24:D32" si="13">getDelta("MC","Digital","Call",B24,$B$5,$C$5,$D$5,$E$5,$F$5)*B24</f>
        <v>2.0451919610418563</v>
      </c>
      <c r="E24" s="28">
        <f t="shared" ref="E24:E32" si="14">getGamma("MC", "Digital", "Put", B24,$B$5,$C$5,$D$5,$E$5,$F$5)*B24^2/0.01</f>
        <v>-1043.7188622571814</v>
      </c>
      <c r="F24" s="27">
        <f t="shared" ref="F24:F32" si="15">getVega("MC", "Digital", "Call", B24,$B$5,$C$5,$D$5,$E$5,$F$5)</f>
        <v>94.309264014955744</v>
      </c>
      <c r="G24" s="27">
        <f t="shared" ref="G24:G32" si="16">getRho("MC", "Digital", "Call", B24,$B$5,$C$5,$D$5,$E$5,$F$5)</f>
        <v>1.3758451163262131</v>
      </c>
      <c r="H24" s="27">
        <f t="shared" ref="H24:H32" si="17">getTheta("MC", "Digital", "Call",B24,$B$5,$C$5,$D$5,$E$5,$F$5)</f>
        <v>2.76555828654379E-3</v>
      </c>
      <c r="I24" s="26"/>
      <c r="J24" s="26">
        <f>J25-0.01</f>
        <v>0.16939999999999997</v>
      </c>
      <c r="K24" s="27">
        <f t="shared" ref="K24:K32" si="18">getPrice("MC", "Digital", "Call",$B$14,$B$5,$C$5,$D$5,J24,$F$5)</f>
        <v>0.49208859310501996</v>
      </c>
      <c r="L24" s="29">
        <f>getDelta("MC","Digital","Call",$B$14,$B$5,$C$5,$D$5,J24,$F$5)*$B$28</f>
        <v>3.5014282783815021</v>
      </c>
      <c r="M24" s="28">
        <f t="shared" ref="M24:M32" si="19">getGamma("MC", "Digital", "Put", $B$14,$B$5,$C$5,$D$5,J24,$F$5)*$B$14^2/0.01</f>
        <v>-1938.3350299060357</v>
      </c>
      <c r="N24" s="4">
        <f t="shared" ref="N24:N32" si="20">getVega("MC", "Digital", "Call", $B$14,$B$5,$C$5,$D$5,J24,$F$5)</f>
        <v>123.1669541601283</v>
      </c>
      <c r="O24" s="4">
        <f t="shared" ref="O24:O32" si="21">getRho("MC", "Digital", "Call", $B$14,$B$5,$C$5,$D$5,J24,F$5)</f>
        <v>2.4874678318922983</v>
      </c>
      <c r="P24" s="4">
        <f t="shared" ref="P24:P32" si="22">getTheta("MC", "Digital", "Call",$B$14,$B$5,$C$5,$D$5,J24,$F$5)</f>
        <v>5.9050649675596034E-3</v>
      </c>
    </row>
    <row r="25" spans="1:16" x14ac:dyDescent="0.3">
      <c r="B25" s="27">
        <f>B28*0.925</f>
        <v>397.75</v>
      </c>
      <c r="C25" s="27">
        <f t="shared" si="12"/>
        <v>0.2887125176594969</v>
      </c>
      <c r="D25" s="29">
        <f t="shared" si="13"/>
        <v>2.1942946556500114</v>
      </c>
      <c r="E25" s="28">
        <f t="shared" si="14"/>
        <v>49.700898202775782</v>
      </c>
      <c r="F25" s="27">
        <f t="shared" si="15"/>
        <v>106.01766272358368</v>
      </c>
      <c r="G25" s="27">
        <f t="shared" si="16"/>
        <v>0.84966170642492012</v>
      </c>
      <c r="H25" s="27">
        <f t="shared" si="17"/>
        <v>-0.49354502681009382</v>
      </c>
      <c r="I25" s="26"/>
      <c r="J25" s="26">
        <f>J26-0.01</f>
        <v>0.17939999999999998</v>
      </c>
      <c r="K25" s="27">
        <f t="shared" si="18"/>
        <v>0.48895743651824869</v>
      </c>
      <c r="L25" s="29">
        <f t="shared" ref="L25:L32" si="23">getDelta("MC","Digital","Call",$B$14,$B$5,$C$5,$D$5,J25,$F$5)*B$14</f>
        <v>3.3274751346719897</v>
      </c>
      <c r="M25" s="28">
        <f t="shared" si="19"/>
        <v>-3429.3619759877552</v>
      </c>
      <c r="N25" s="4">
        <f t="shared" si="20"/>
        <v>123.22830489815803</v>
      </c>
      <c r="O25" s="4">
        <f t="shared" si="21"/>
        <v>0.99803131270476131</v>
      </c>
      <c r="P25" s="4">
        <f t="shared" si="22"/>
        <v>5.8674910652367629E-3</v>
      </c>
    </row>
    <row r="26" spans="1:16" x14ac:dyDescent="0.3">
      <c r="B26" s="27">
        <f>B28*0.95</f>
        <v>408.5</v>
      </c>
      <c r="C26" s="27">
        <f t="shared" si="12"/>
        <v>0.35014282783805667</v>
      </c>
      <c r="D26" s="29">
        <f t="shared" si="13"/>
        <v>2.4378290568433298</v>
      </c>
      <c r="E26" s="28">
        <f t="shared" si="14"/>
        <v>-149.1026946083274</v>
      </c>
      <c r="F26" s="27">
        <f t="shared" si="15"/>
        <v>114.97892356173614</v>
      </c>
      <c r="G26" s="27">
        <f t="shared" si="16"/>
        <v>0.81892170087805027</v>
      </c>
      <c r="H26" s="27">
        <f t="shared" si="17"/>
        <v>4.2017152529494339E-3</v>
      </c>
      <c r="I26" s="26"/>
      <c r="J26" s="26">
        <f>J27-0.01</f>
        <v>0.18939999999999999</v>
      </c>
      <c r="K26" s="27">
        <f t="shared" si="18"/>
        <v>0.48622388711709918</v>
      </c>
      <c r="L26" s="29">
        <f t="shared" si="23"/>
        <v>3.1485519011422021</v>
      </c>
      <c r="M26" s="28">
        <f t="shared" si="19"/>
        <v>-4025.7727544201762</v>
      </c>
      <c r="N26" s="4">
        <f t="shared" si="20"/>
        <v>123.27590199591238</v>
      </c>
      <c r="O26" s="4">
        <f t="shared" si="21"/>
        <v>1.2479398544162912</v>
      </c>
      <c r="P26" s="4">
        <f t="shared" si="22"/>
        <v>5.8346884518334363E-3</v>
      </c>
    </row>
    <row r="27" spans="1:16" x14ac:dyDescent="0.3">
      <c r="B27" s="27">
        <f>B28*0.975</f>
        <v>419.25</v>
      </c>
      <c r="C27" s="27">
        <f t="shared" si="12"/>
        <v>0.41331266945371153</v>
      </c>
      <c r="D27" s="29">
        <f t="shared" si="13"/>
        <v>2.4925000448663193</v>
      </c>
      <c r="E27" s="28">
        <f t="shared" si="14"/>
        <v>-3826.9691616095174</v>
      </c>
      <c r="F27" s="27">
        <f t="shared" si="15"/>
        <v>120.84953987514008</v>
      </c>
      <c r="G27" s="27">
        <f t="shared" si="16"/>
        <v>0.29032779739646131</v>
      </c>
      <c r="H27" s="27">
        <f t="shared" si="17"/>
        <v>4.9597532869594119E-3</v>
      </c>
      <c r="I27" s="26"/>
      <c r="J27" s="26">
        <f>J28-0.01</f>
        <v>0.19939999999999999</v>
      </c>
      <c r="K27" s="27">
        <f t="shared" si="18"/>
        <v>0.48398734669797688</v>
      </c>
      <c r="L27" s="29">
        <f t="shared" si="23"/>
        <v>3.0044192963543188</v>
      </c>
      <c r="M27" s="28">
        <f t="shared" si="19"/>
        <v>-4025.7727544203985</v>
      </c>
      <c r="N27" s="4">
        <f t="shared" si="20"/>
        <v>123.31030578211362</v>
      </c>
      <c r="O27" s="4">
        <f t="shared" si="21"/>
        <v>1.7460919577341749</v>
      </c>
      <c r="P27" s="4">
        <f t="shared" si="22"/>
        <v>5.8078499493019464E-3</v>
      </c>
    </row>
    <row r="28" spans="1:16" x14ac:dyDescent="0.3">
      <c r="A28" s="26" t="s">
        <v>61</v>
      </c>
      <c r="B28" s="27">
        <v>430</v>
      </c>
      <c r="C28" s="27">
        <f t="shared" si="12"/>
        <v>0.48199931076986813</v>
      </c>
      <c r="D28" s="29">
        <f t="shared" si="13"/>
        <v>2.8503465119258915</v>
      </c>
      <c r="E28" s="28">
        <f t="shared" si="14"/>
        <v>-3230.5583831766517</v>
      </c>
      <c r="F28" s="27">
        <f t="shared" si="15"/>
        <v>123.33608649357596</v>
      </c>
      <c r="G28" s="27">
        <f t="shared" si="16"/>
        <v>0.50455109386199348</v>
      </c>
      <c r="H28" s="27">
        <f t="shared" si="17"/>
        <v>5.7839935035941537E-3</v>
      </c>
      <c r="I28" s="26"/>
      <c r="J28" s="26">
        <v>0.2094</v>
      </c>
      <c r="K28" s="27">
        <f t="shared" si="18"/>
        <v>0.48199931076986813</v>
      </c>
      <c r="L28" s="29">
        <f t="shared" si="23"/>
        <v>2.8528315568360245</v>
      </c>
      <c r="M28" s="28">
        <f t="shared" si="19"/>
        <v>-3280.2592813794276</v>
      </c>
      <c r="N28" s="4">
        <f t="shared" si="20"/>
        <v>123.33596752531743</v>
      </c>
      <c r="O28" s="4">
        <f t="shared" si="21"/>
        <v>0.75304315996144178</v>
      </c>
      <c r="P28" s="4">
        <f t="shared" si="22"/>
        <v>5.7839935035941537E-3</v>
      </c>
    </row>
    <row r="29" spans="1:16" x14ac:dyDescent="0.3">
      <c r="B29" s="27">
        <f>B28*1.025</f>
        <v>440.74999999999994</v>
      </c>
      <c r="C29" s="27">
        <f t="shared" si="12"/>
        <v>0.55222667993030905</v>
      </c>
      <c r="D29" s="29">
        <f t="shared" si="13"/>
        <v>2.6987587724075999</v>
      </c>
      <c r="E29" s="29">
        <f t="shared" si="14"/>
        <v>0</v>
      </c>
      <c r="F29" s="27">
        <f t="shared" si="15"/>
        <v>122.19776425086728</v>
      </c>
      <c r="G29" s="27">
        <f t="shared" si="16"/>
        <v>0.4693877080524933</v>
      </c>
      <c r="H29" s="27">
        <f t="shared" si="17"/>
        <v>6.6267224652083456E-3</v>
      </c>
      <c r="I29" s="26"/>
      <c r="J29" s="26">
        <f>J28+0.01</f>
        <v>0.21940000000000001</v>
      </c>
      <c r="K29" s="27">
        <f t="shared" si="18"/>
        <v>0.47991187304535399</v>
      </c>
      <c r="L29" s="29">
        <f t="shared" si="23"/>
        <v>2.7310643562393659</v>
      </c>
      <c r="M29" s="28">
        <f t="shared" si="19"/>
        <v>-3429.3619759875328</v>
      </c>
      <c r="N29" s="4">
        <f t="shared" si="20"/>
        <v>123.36306765675999</v>
      </c>
      <c r="O29" s="4">
        <f t="shared" si="21"/>
        <v>0.75406202838440572</v>
      </c>
      <c r="P29" s="4">
        <f t="shared" si="22"/>
        <v>5.7589442348238151E-3</v>
      </c>
    </row>
    <row r="30" spans="1:16" x14ac:dyDescent="0.3">
      <c r="B30" s="27">
        <f>B28*1.05</f>
        <v>451.5</v>
      </c>
      <c r="C30" s="27">
        <f t="shared" si="12"/>
        <v>0.61301087843223345</v>
      </c>
      <c r="D30" s="29">
        <f t="shared" si="13"/>
        <v>2.4353440119331942</v>
      </c>
      <c r="E30" s="28">
        <f t="shared" si="14"/>
        <v>-198.8035928108811</v>
      </c>
      <c r="F30" s="27">
        <f t="shared" si="15"/>
        <v>118.40854613337193</v>
      </c>
      <c r="G30" s="27">
        <f t="shared" si="16"/>
        <v>0.68751252506327187</v>
      </c>
      <c r="H30" s="27">
        <f t="shared" si="17"/>
        <v>7.3561333080451874E-3</v>
      </c>
      <c r="I30" s="26"/>
      <c r="J30" s="26">
        <f>J29+0.01</f>
        <v>0.22940000000000002</v>
      </c>
      <c r="K30" s="27">
        <f t="shared" si="18"/>
        <v>0.47742682813521808</v>
      </c>
      <c r="L30" s="29">
        <f t="shared" si="23"/>
        <v>2.6043270658224347</v>
      </c>
      <c r="M30" s="28">
        <f t="shared" si="19"/>
        <v>-4572.482634650044</v>
      </c>
      <c r="N30" s="4">
        <f t="shared" si="20"/>
        <v>123.39582898908432</v>
      </c>
      <c r="O30" s="4">
        <f t="shared" si="21"/>
        <v>0.75532940130046411</v>
      </c>
      <c r="P30" s="4">
        <f t="shared" si="22"/>
        <v>5.7291236771339626E-3</v>
      </c>
    </row>
    <row r="31" spans="1:16" x14ac:dyDescent="0.3">
      <c r="B31" s="27">
        <f>B28*1.075</f>
        <v>462.25</v>
      </c>
      <c r="C31" s="27">
        <f t="shared" si="12"/>
        <v>0.67066392034738653</v>
      </c>
      <c r="D31" s="29">
        <f t="shared" si="13"/>
        <v>2.3011515867858541</v>
      </c>
      <c r="E31" s="28">
        <f t="shared" si="14"/>
        <v>2584.4467065413423</v>
      </c>
      <c r="F31" s="27">
        <f t="shared" si="15"/>
        <v>111.95940051091995</v>
      </c>
      <c r="G31" s="27">
        <f t="shared" si="16"/>
        <v>0.41019393773433777</v>
      </c>
      <c r="H31" s="27">
        <f t="shared" si="17"/>
        <v>8.0479702480040771E-3</v>
      </c>
      <c r="I31" s="26"/>
      <c r="J31" s="26">
        <f>J30+0.01</f>
        <v>0.23940000000000003</v>
      </c>
      <c r="K31" s="27">
        <f t="shared" si="18"/>
        <v>0.47548849310531205</v>
      </c>
      <c r="L31" s="29">
        <f t="shared" si="23"/>
        <v>2.4626795059446871</v>
      </c>
      <c r="M31" s="28">
        <f t="shared" si="19"/>
        <v>-3230.5583831766517</v>
      </c>
      <c r="N31" s="4">
        <f t="shared" si="20"/>
        <v>123.4184250685713</v>
      </c>
      <c r="O31" s="4">
        <f t="shared" si="21"/>
        <v>0.75627371837527768</v>
      </c>
      <c r="P31" s="4">
        <f t="shared" si="22"/>
        <v>5.7058636421247755E-3</v>
      </c>
    </row>
    <row r="32" spans="1:16" x14ac:dyDescent="0.3">
      <c r="B32" s="27">
        <f>B28*1.1</f>
        <v>473.00000000000006</v>
      </c>
      <c r="C32" s="27">
        <f t="shared" si="12"/>
        <v>0.72195524729259175</v>
      </c>
      <c r="D32" s="29">
        <f t="shared" si="13"/>
        <v>2.107318083795251</v>
      </c>
      <c r="E32" s="28">
        <f t="shared" si="14"/>
        <v>1491.0269460814973</v>
      </c>
      <c r="F32" s="27">
        <f t="shared" si="15"/>
        <v>103.8772426549837</v>
      </c>
      <c r="G32" s="27">
        <f t="shared" si="16"/>
        <v>0.13605620792112028</v>
      </c>
      <c r="H32" s="27">
        <f t="shared" si="17"/>
        <v>8.6634665608098516E-3</v>
      </c>
      <c r="I32" s="26"/>
      <c r="J32" s="26">
        <f>J31+0.01</f>
        <v>0.24940000000000004</v>
      </c>
      <c r="K32" s="27">
        <f t="shared" si="18"/>
        <v>0.47355015807540601</v>
      </c>
      <c r="L32" s="29">
        <f t="shared" si="23"/>
        <v>2.3458823951683003</v>
      </c>
      <c r="M32" s="28">
        <f t="shared" si="19"/>
        <v>-1988.0359281088115</v>
      </c>
      <c r="N32" s="4">
        <f t="shared" si="20"/>
        <v>123.44117941964896</v>
      </c>
      <c r="O32" s="4">
        <f t="shared" si="21"/>
        <v>1.1716986702270393E-2</v>
      </c>
      <c r="P32" s="4">
        <f t="shared" si="22"/>
        <v>5.6826036071155883E-3</v>
      </c>
    </row>
    <row r="33" spans="3:16" x14ac:dyDescent="0.3"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</sheetData>
  <mergeCells count="4">
    <mergeCell ref="D8:H8"/>
    <mergeCell ref="L8:P8"/>
    <mergeCell ref="D22:H22"/>
    <mergeCell ref="L22:P2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Base</vt:lpstr>
      <vt:lpstr>DigitalHedging</vt:lpstr>
      <vt:lpstr>RiskMgt</vt:lpstr>
    </vt:vector>
  </TitlesOfParts>
  <Company>한화생명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lhadmin</dc:creator>
  <cp:lastModifiedBy>lhadmin</cp:lastModifiedBy>
  <dcterms:created xsi:type="dcterms:W3CDTF">2021-07-08T01:10:19Z</dcterms:created>
  <dcterms:modified xsi:type="dcterms:W3CDTF">2021-07-14T08:19:32Z</dcterms:modified>
</cp:coreProperties>
</file>